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 sheetId="1" r:id="rId1"/>
    <sheet name="Productos" sheetId="2" r:id="rId2"/>
  </sheets>
  <definedNames>
    <definedName name="_xlnm._FilterDatabase" localSheetId="1">'Productos'!A1:O594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5"/>
  <sheetViews>
    <sheetView workbookViewId="0"/>
  </sheetViews>
  <cols>
    <col min="1" max="1" width="34.83203125" customWidth="1"/>
    <col min="2" max="2" width="16.83203125" customWidth="1"/>
    <col min="3" max="3" width="12.83203125" customWidth="1"/>
    <col min="4" max="4" width="20.83203125" customWidth="1"/>
    <col min="5" max="5" width="20.83203125" customWidth="1"/>
  </cols>
  <sheetData>
    <row r="1">
      <c r="A1" t="str">
        <v>Resumen – Productos Temu (EE.UU.)</v>
      </c>
    </row>
    <row r="2">
      <c r="A2" t="str">
        <v>Fecha de extracción</v>
      </c>
      <c r="B2" t="str">
        <v>2026-09-26</v>
      </c>
    </row>
    <row r="3">
      <c r="A3" t="str">
        <v>Tipo de cambio USD→PEN (editable)</v>
      </c>
      <c r="B3">
        <v>3.5</v>
      </c>
    </row>
    <row r="4">
      <c r="A4" t="str">
        <v>Total de productos</v>
      </c>
      <c r="B4">
        <f>COUNTA(Productos!C2:C594)</f>
      </c>
    </row>
    <row r="6">
      <c r="A6" t="str">
        <v>Categoría</v>
      </c>
      <c r="B6" t="str">
        <v>Keyword</v>
      </c>
      <c r="C6" t="str">
        <v>Productos</v>
      </c>
      <c r="D6" t="str">
        <v>Precio promedio USD</v>
      </c>
      <c r="E6" t="str">
        <v>Precio promedio PEN</v>
      </c>
    </row>
    <row r="7">
      <c r="A7" t="str">
        <v>TI / Redes</v>
      </c>
      <c r="B7" t="str">
        <v>wifi router</v>
      </c>
      <c r="C7">
        <f>COUNTIF(Productos!$B$2:$B$594,B7)</f>
      </c>
      <c r="D7">
        <f>ROUND(AVERAGEIF(Productos!$B$2:$B$594,B7,Productos!$E$2:$E$594),2)</f>
      </c>
      <c r="E7">
        <f>ROUND(D7*$B$3,2)</f>
      </c>
    </row>
    <row r="8">
      <c r="A8" t="str">
        <v>TI / Redes</v>
      </c>
      <c r="B8" t="str">
        <v>wifi extender</v>
      </c>
      <c r="C8">
        <f>COUNTIF(Productos!$B$2:$B$594,B8)</f>
      </c>
      <c r="D8">
        <f>ROUND(AVERAGEIF(Productos!$B$2:$B$594,B8,Productos!$E$2:$E$594),2)</f>
      </c>
      <c r="E8">
        <f>ROUND(D8*$B$3,2)</f>
      </c>
    </row>
    <row r="9">
      <c r="A9" t="str">
        <v>TI / Redes</v>
      </c>
      <c r="B9" t="str">
        <v>ethernet cable</v>
      </c>
      <c r="C9">
        <f>COUNTIF(Productos!$B$2:$B$594,B9)</f>
      </c>
      <c r="D9">
        <f>ROUND(AVERAGEIF(Productos!$B$2:$B$594,B9,Productos!$E$2:$E$594),2)</f>
      </c>
      <c r="E9">
        <f>ROUND(D9*$B$3,2)</f>
      </c>
    </row>
    <row r="10">
      <c r="A10" t="str">
        <v>Computación</v>
      </c>
      <c r="B10" t="str">
        <v>wireless mouse</v>
      </c>
      <c r="C10">
        <f>COUNTIF(Productos!$B$2:$B$594,B10)</f>
      </c>
      <c r="D10">
        <f>ROUND(AVERAGEIF(Productos!$B$2:$B$594,B10,Productos!$E$2:$E$594),2)</f>
      </c>
      <c r="E10">
        <f>ROUND(D10*$B$3,2)</f>
      </c>
    </row>
    <row r="11">
      <c r="A11" t="str">
        <v>Computación</v>
      </c>
      <c r="B11" t="str">
        <v>keyboard</v>
      </c>
      <c r="C11">
        <f>COUNTIF(Productos!$B$2:$B$594,B11)</f>
      </c>
      <c r="D11">
        <f>ROUND(AVERAGEIF(Productos!$B$2:$B$594,B11,Productos!$E$2:$E$594),2)</f>
      </c>
      <c r="E11">
        <f>ROUND(D11*$B$3,2)</f>
      </c>
    </row>
    <row r="12">
      <c r="A12" t="str">
        <v>Computación</v>
      </c>
      <c r="B12" t="str">
        <v>usb hub</v>
      </c>
      <c r="C12">
        <f>COUNTIF(Productos!$B$2:$B$594,B12)</f>
      </c>
      <c r="D12">
        <f>ROUND(AVERAGEIF(Productos!$B$2:$B$594,B12,Productos!$E$2:$E$594),2)</f>
      </c>
      <c r="E12">
        <f>ROUND(D12*$B$3,2)</f>
      </c>
    </row>
    <row r="13">
      <c r="A13" t="str">
        <v>Computación</v>
      </c>
      <c r="B13" t="str">
        <v>laptop stand</v>
      </c>
      <c r="C13">
        <f>COUNTIF(Productos!$B$2:$B$594,B13)</f>
      </c>
      <c r="D13">
        <f>ROUND(AVERAGEIF(Productos!$B$2:$B$594,B13,Productos!$E$2:$E$594),2)</f>
      </c>
      <c r="E13">
        <f>ROUND(D13*$B$3,2)</f>
      </c>
    </row>
    <row r="15">
      <c r="A15" t="str">
        <v>Nota</v>
      </c>
      <c r="B15" t="str">
        <v>Precios de Temu EE.UU. en USD. La columna PEN usa el tipo de cambio de B3; cámbialo y todo se recalcula. Electrodomésticos no incluidos: Temu bloqueó esas búsquedas.</v>
      </c>
    </row>
  </sheetData>
  <ignoredErrors>
    <ignoredError numberStoredAsText="1" sqref="A1:E15"/>
  </ignoredErrors>
</worksheet>
</file>

<file path=xl/worksheets/sheet2.xml><?xml version="1.0" encoding="utf-8"?>
<worksheet xmlns="http://schemas.openxmlformats.org/spreadsheetml/2006/main" xmlns:r="http://schemas.openxmlformats.org/officeDocument/2006/relationships">
  <dimension ref="A1:O594"/>
  <sheetViews>
    <sheetView workbookViewId="0"/>
  </sheetViews>
  <cols>
    <col min="1" max="1" width="14.83203125" customWidth="1"/>
    <col min="2" max="2" width="15.83203125" customWidth="1"/>
    <col min="3" max="3" width="18.83203125" customWidth="1"/>
    <col min="4" max="4" width="70.83203125" customWidth="1"/>
    <col min="5" max="5" width="11.83203125" customWidth="1"/>
    <col min="6" max="6" width="13.83203125" customWidth="1"/>
    <col min="7" max="7" width="11.83203125" customWidth="1"/>
    <col min="8" max="8" width="15.83203125" customWidth="1"/>
    <col min="9" max="9" width="8.83203125" customWidth="1"/>
    <col min="10" max="10" width="9.83203125" customWidth="1"/>
    <col min="11" max="11" width="11.83203125" customWidth="1"/>
    <col min="12" max="12" width="14.83203125" customWidth="1"/>
    <col min="13" max="13" width="28.83203125" customWidth="1"/>
    <col min="14" max="14" width="40.83203125" customWidth="1"/>
    <col min="15" max="15" width="55.83203125" customWidth="1"/>
  </cols>
  <sheetData>
    <row r="1">
      <c r="A1" t="str">
        <v>Categoría</v>
      </c>
      <c r="B1" t="str">
        <v>Keyword</v>
      </c>
      <c r="C1" t="str">
        <v>Goods ID</v>
      </c>
      <c r="D1" t="str">
        <v>Título</v>
      </c>
      <c r="E1" t="str">
        <v>Precio USD</v>
      </c>
      <c r="F1" t="str">
        <v>Precio lista USD</v>
      </c>
      <c r="G1" t="str">
        <v>Descuento %</v>
      </c>
      <c r="H1" t="str">
        <v>Precio PEN (aprox.)</v>
      </c>
      <c r="I1" t="str">
        <v>Rating</v>
      </c>
      <c r="J1" t="str">
        <v>Reseñas</v>
      </c>
      <c r="K1" t="str">
        <v>Vendidos</v>
      </c>
      <c r="L1" t="str">
        <v>Vendidos (texto)</v>
      </c>
      <c r="M1" t="str">
        <v>Nota</v>
      </c>
      <c r="N1" t="str">
        <v>Imagen</v>
      </c>
      <c r="O1" t="str">
        <v>URL producto</v>
      </c>
    </row>
    <row r="2">
      <c r="A2" t="str">
        <v>Computación</v>
      </c>
      <c r="B2" t="str">
        <v>wireless mouse</v>
      </c>
      <c r="C2" t="str">
        <v>601099517396227</v>
      </c>
      <c r="D2" t="str">
        <v>Rechargeable Wireless Mouse Designed for Computers, Featuring an Ergonomic USB Design, Silent Operation, And RGB *, Suitable for Laptops, Pcs, And Ipads</v>
      </c>
      <c r="E2">
        <v>3.87</v>
      </c>
      <c r="F2">
        <v>36.99</v>
      </c>
      <c r="G2">
        <v>89.54</v>
      </c>
      <c r="H2">
        <f>IF(E2="","",ROUND(E2*Resumen!$B$3,2))</f>
      </c>
      <c r="I2">
        <v>4.8</v>
      </c>
      <c r="J2">
        <v>4605</v>
      </c>
      <c r="K2">
        <v>300000</v>
      </c>
      <c r="L2" t="str">
        <v>300K+ sold</v>
      </c>
      <c r="M2" t="str">
        <v/>
      </c>
      <c r="N2" t="str">
        <v>https://img.kwcdn.com/product/Fancyalgo/VirtualModelMatting/7991d4215c77f1371226034836f8747d.jpg</v>
      </c>
      <c r="O2" t="str">
        <v>https://www.temu.com/goods.html?goods_id=601099517396227</v>
      </c>
    </row>
    <row r="3">
      <c r="A3" t="str">
        <v>Computación</v>
      </c>
      <c r="B3" t="str">
        <v>usb hub</v>
      </c>
      <c r="C3" t="str">
        <v>601099520395827</v>
      </c>
      <c r="D3" t="str">
        <v>* 4/7 Port USB 2.0 Hub (USB-) - * 480Mbps * External USB Adapter with Individual * Switches, USB-A/ Ports for PC, Laptop, Desktop Computer - Multi-Device Expansion (*)</v>
      </c>
      <c r="E3">
        <v>2.5</v>
      </c>
      <c r="F3">
        <v>5.25</v>
      </c>
      <c r="G3">
        <v>52.38</v>
      </c>
      <c r="H3">
        <f>IF(E3="","",ROUND(E3*Resumen!$B$3,2))</f>
      </c>
      <c r="I3">
        <v>4.6</v>
      </c>
      <c r="J3">
        <v>11093</v>
      </c>
      <c r="K3">
        <v>300000</v>
      </c>
      <c r="L3" t="str">
        <v>300K+ sold</v>
      </c>
      <c r="M3" t="str">
        <v/>
      </c>
      <c r="N3" t="str">
        <v>https://img.kwcdn.com/product/Fancyalgo/VirtualModelMatting/d1bca18da3f96987481b25708625b228.jpg</v>
      </c>
      <c r="O3" t="str">
        <v>https://www.temu.com/goods.html?goods_id=601099520395827</v>
      </c>
    </row>
    <row r="4">
      <c r="A4" t="str">
        <v>Computación</v>
      </c>
      <c r="B4" t="str">
        <v>wireless mouse</v>
      </c>
      <c r="C4" t="str">
        <v>601099605262404</v>
      </c>
      <c r="D4" t="str">
        <v>Rechargeable LED Backlit Wireless Mouse, Ultra-Thin 2.4G/5.2 * Silent Portable USB Optical Gaming Mouse, Compatible with Laptop/Desktop/Tablet, * Design, 500mAh Battery, Type-C Charging, No Charger Included, Computer Accessory | * Design | Type C Charging Port, Mouse Accessories</v>
      </c>
      <c r="E4">
        <v>3.87</v>
      </c>
      <c r="F4">
        <v>29.68</v>
      </c>
      <c r="G4">
        <v>86.96</v>
      </c>
      <c r="H4">
        <f>IF(E4="","",ROUND(E4*Resumen!$B$3,2))</f>
      </c>
      <c r="I4">
        <v>4.8</v>
      </c>
      <c r="J4">
        <v>953</v>
      </c>
      <c r="K4">
        <v>200000</v>
      </c>
      <c r="L4" t="str">
        <v>200K+ sold</v>
      </c>
      <c r="M4" t="str">
        <v/>
      </c>
      <c r="N4" t="str">
        <v>https://img.kwcdn.com/product/fancy/203cd544-890e-4743-b8fb-ca24df1aac6a.jpg</v>
      </c>
      <c r="O4" t="str">
        <v>https://www.temu.com/goods.html?goods_id=601099605262404</v>
      </c>
    </row>
    <row r="5">
      <c r="A5" t="str">
        <v>Computación</v>
      </c>
      <c r="B5" t="str">
        <v>usb hub</v>
      </c>
      <c r="C5" t="str">
        <v>606447249259640</v>
      </c>
      <c r="D5" t="str">
        <v>12-Port 66W USB Fast Charging Station, * Charging, 6× Type-C PD + 6× USB-A Ports, *, Suitable for */Multiple Devices, * Power Hub, Designed for Tech Enthusiasts, Holiday Gift</v>
      </c>
      <c r="E5">
        <v>3.87</v>
      </c>
      <c r="F5">
        <v>30.6</v>
      </c>
      <c r="G5">
        <v>87.35</v>
      </c>
      <c r="H5">
        <f>IF(E5="","",ROUND(E5*Resumen!$B$3,2))</f>
      </c>
      <c r="I5">
        <v>4.8</v>
      </c>
      <c r="J5">
        <v>4575</v>
      </c>
      <c r="K5">
        <v>200000</v>
      </c>
      <c r="L5" t="str">
        <v>200K+ sold</v>
      </c>
      <c r="M5" t="str">
        <v/>
      </c>
      <c r="N5" t="str">
        <v>https://img.kwcdn.com/product/fancy/ba25e1df-5c22-4916-b833-d1be9d51a0ed.jpg</v>
      </c>
      <c r="O5" t="str">
        <v>https://www.temu.com/goods.html?goods_id=606447249259640</v>
      </c>
    </row>
    <row r="6">
      <c r="A6" t="str">
        <v>Computación</v>
      </c>
      <c r="B6" t="str">
        <v>usb hub</v>
      </c>
      <c r="C6" t="str">
        <v>606791282837149</v>
      </c>
      <c r="D6" t="str">
        <v>66W Round USB-C Fast Charging Hub, * Model - 4*Type-C PD + 4*USB-A Ports, Compatible with USB Hubs, USB Adapters, and USB-C Hubs, Supports Type-C */Multi-Output Socket for Fast Charging. Suitable for iPhone, MacBook</v>
      </c>
      <c r="E6">
        <v>4.34</v>
      </c>
      <c r="F6">
        <v>20</v>
      </c>
      <c r="G6">
        <v>78.3</v>
      </c>
      <c r="H6">
        <f>IF(E6="","",ROUND(E6*Resumen!$B$3,2))</f>
      </c>
      <c r="I6">
        <v>4.8</v>
      </c>
      <c r="J6">
        <v>956</v>
      </c>
      <c r="K6">
        <v>70000</v>
      </c>
      <c r="L6" t="str">
        <v>70K+ sold</v>
      </c>
      <c r="M6" t="str">
        <v/>
      </c>
      <c r="N6" t="str">
        <v>https://img.kwcdn.com/product/fancy/611f943c-4ea1-4c94-9682-8679e573ac36.jpg</v>
      </c>
      <c r="O6" t="str">
        <v>https://www.temu.com/goods.html?goods_id=606791282837149</v>
      </c>
    </row>
    <row r="7">
      <c r="A7" t="str">
        <v>Computación</v>
      </c>
      <c r="B7" t="str">
        <v>wireless mouse</v>
      </c>
      <c r="C7" t="str">
        <v>601099652821994</v>
      </c>
      <c r="D7" t="str">
        <v>Wireless Lighted Mouse, Office Mouse, Rechargeable Mouse, * (2.4G+BT) Mouse, Compact Silent Mouse, Compatible with Laptops/ Desktops/ Tablets</v>
      </c>
      <c r="E7">
        <v>4.51</v>
      </c>
      <c r="F7">
        <v>9.49</v>
      </c>
      <c r="G7">
        <v>52.48</v>
      </c>
      <c r="H7">
        <f>IF(E7="","",ROUND(E7*Resumen!$B$3,2))</f>
      </c>
      <c r="I7">
        <v>4.8</v>
      </c>
      <c r="J7">
        <v>258</v>
      </c>
      <c r="K7">
        <v>65000</v>
      </c>
      <c r="L7" t="str">
        <v>65K+ sold</v>
      </c>
      <c r="M7" t="str">
        <v/>
      </c>
      <c r="N7" t="str">
        <v>https://img.kwcdn.com/product/fancy/6e28b286-950c-4546-b377-5f28e85f91b6.jpg</v>
      </c>
      <c r="O7" t="str">
        <v>https://www.temu.com/goods.html?goods_id=601099652821994</v>
      </c>
    </row>
    <row r="8">
      <c r="A8" t="str">
        <v>Computación</v>
      </c>
      <c r="B8" t="str">
        <v>usb hub</v>
      </c>
      <c r="C8" t="str">
        <v>601099685243416</v>
      </c>
      <c r="D8" t="str">
        <v>10-Port USB Hub Compatible for PS5/PS4/*/PC/* - USB- External USB Adapter with 10 Individual Ports, USB- (No External Power Required), Fast Charging &amp; Data Transfer, Compatible with USB Devices (Laptops, Keyboards, Mice)</v>
      </c>
      <c r="E8">
        <v>6.45</v>
      </c>
      <c r="F8">
        <v>35.95</v>
      </c>
      <c r="G8">
        <v>82.06</v>
      </c>
      <c r="H8">
        <f>IF(E8="","",ROUND(E8*Resumen!$B$3,2))</f>
      </c>
      <c r="I8">
        <v>4.8</v>
      </c>
      <c r="J8">
        <v>3718</v>
      </c>
      <c r="K8">
        <v>65000</v>
      </c>
      <c r="L8" t="str">
        <v>65K+ sold</v>
      </c>
      <c r="M8" t="str">
        <v/>
      </c>
      <c r="N8" t="str">
        <v>https://img.kwcdn.com/product/fancy/be4ec5b6-093a-4520-810b-115daaec47a4.jpg</v>
      </c>
      <c r="O8" t="str">
        <v>https://www.temu.com/goods.html?goods_id=601099685243416</v>
      </c>
    </row>
    <row r="9">
      <c r="A9" t="str">
        <v>Computación</v>
      </c>
      <c r="B9" t="str">
        <v>wireless mouse</v>
      </c>
      <c r="C9" t="str">
        <v>601101379301276</v>
      </c>
      <c r="D9" t="str">
        <v>* * Wireless Mouse, Portable Ergonomic Type-C Rechargeable Silent Mouse for Office/Home Use with Tablet/Laptop/Desktop *, Wireless Mouse for Laptop, Portable Device, Compact Mouse, Durable Build, Rechargeable Device, Tech Enthusiasts</v>
      </c>
      <c r="E9">
        <v>3.84</v>
      </c>
      <c r="F9">
        <v>7.83</v>
      </c>
      <c r="G9">
        <v>50.96</v>
      </c>
      <c r="H9">
        <f>IF(E9="","",ROUND(E9*Resumen!$B$3,2))</f>
      </c>
      <c r="I9">
        <v>4.8</v>
      </c>
      <c r="J9">
        <v>1683</v>
      </c>
      <c r="K9">
        <v>62000</v>
      </c>
      <c r="L9" t="str">
        <v>62K+ sold</v>
      </c>
      <c r="M9" t="str">
        <v/>
      </c>
      <c r="N9" t="str">
        <v>https://img.kwcdn.com/product/fancy/1e903423-fb2c-4f92-bfae-cab4b1ef2782.jpg</v>
      </c>
      <c r="O9" t="str">
        <v>https://www.temu.com/goods.html?goods_id=601101379301276</v>
      </c>
    </row>
    <row r="10">
      <c r="A10" t="str">
        <v>Computación</v>
      </c>
      <c r="B10" t="str">
        <v>usb hub</v>
      </c>
      <c r="C10" t="str">
        <v>601099658250433</v>
      </c>
      <c r="D10" t="str">
        <v>USB Hub 3.0, 5* Transfer, 7-Port USB Expander And Distributor, Featuring Independent LED Switch, Multiple USB Ports Hub, Suitable for Laptops, Pcs, Macbooks, * Pros, * Minis, *, Surface Pros, And Other USB Devices</v>
      </c>
      <c r="E10">
        <v>4.64</v>
      </c>
      <c r="F10">
        <v>9.98</v>
      </c>
      <c r="G10">
        <v>53.51</v>
      </c>
      <c r="H10">
        <f>IF(E10="","",ROUND(E10*Resumen!$B$3,2))</f>
      </c>
      <c r="I10">
        <v>4.8</v>
      </c>
      <c r="J10">
        <v>706</v>
      </c>
      <c r="K10">
        <v>52000</v>
      </c>
      <c r="L10" t="str">
        <v>52K+ sold</v>
      </c>
      <c r="M10" t="str">
        <v/>
      </c>
      <c r="N10" t="str">
        <v>https://img.kwcdn.com/product/fancy/cf68ce13-8ef3-458b-875f-6885efeb0ae5.jpg</v>
      </c>
      <c r="O10" t="str">
        <v>https://www.temu.com/goods.html?goods_id=601099658250433</v>
      </c>
    </row>
    <row r="11">
      <c r="A11" t="str">
        <v>Computación</v>
      </c>
      <c r="B11" t="str">
        <v>keyboard</v>
      </c>
      <c r="C11" t="str">
        <v>601099712900528</v>
      </c>
      <c r="D11" t="str">
        <v>* F75 2.4G Wireless Mechanical Keyboard Wired Gaming RGB 75% Layout OEM Profile Gasket Structure, Hot Swappable Keyboard, Typing *, Gaming Office Keyboard, PC Universal, for Gifts, Multiple Keycap Options</v>
      </c>
      <c r="E11">
        <v>62.53</v>
      </c>
      <c r="F11">
        <v>298.63</v>
      </c>
      <c r="G11">
        <v>79.06</v>
      </c>
      <c r="H11">
        <f>IF(E11="","",ROUND(E11*Resumen!$B$3,2))</f>
      </c>
      <c r="I11">
        <v>4.7</v>
      </c>
      <c r="J11">
        <v>26</v>
      </c>
      <c r="K11">
        <v>44000</v>
      </c>
      <c r="L11" t="str">
        <v>44K+ sold</v>
      </c>
      <c r="M11" t="str">
        <v/>
      </c>
      <c r="N11" t="str">
        <v>https://img.kwcdn.com/product/fancy/f6cd77e5-eb2f-4e1c-8014-de10c6761229.jpg</v>
      </c>
      <c r="O11" t="str">
        <v>https://www.temu.com/goods.html?goods_id=601099712900528</v>
      </c>
    </row>
    <row r="12">
      <c r="A12" t="str">
        <v>Computación</v>
      </c>
      <c r="B12" t="str">
        <v>wireless mouse</v>
      </c>
      <c r="C12" t="str">
        <v>601099752260589</v>
      </c>
      <c r="D12" t="str">
        <v>Wireless Mouse, *, Silent, Battery-powered, Compatible with iPad, Laptops, and Desktops - Macaron Colors, Suitable for Birthdays, Easter, Halloween, and Christmas</v>
      </c>
      <c r="E12">
        <v>5.83</v>
      </c>
      <c r="F12">
        <v>54.22</v>
      </c>
      <c r="G12">
        <v>89.25</v>
      </c>
      <c r="H12">
        <f>IF(E12="","",ROUND(E12*Resumen!$B$3,2))</f>
      </c>
      <c r="I12">
        <v>4.7</v>
      </c>
      <c r="J12">
        <v>234</v>
      </c>
      <c r="K12">
        <v>38000</v>
      </c>
      <c r="L12" t="str">
        <v>38K+ sold</v>
      </c>
      <c r="M12" t="str">
        <v/>
      </c>
      <c r="N12" t="str">
        <v>https://img.kwcdn.com/product/fancy/0a43463d-b125-47c3-b09e-25f5c3505ab0.jpg</v>
      </c>
      <c r="O12" t="str">
        <v>https://www.temu.com/goods.html?goods_id=601099752260589</v>
      </c>
    </row>
    <row r="13">
      <c r="A13" t="str">
        <v>Computación</v>
      </c>
      <c r="B13" t="str">
        <v>keyboard</v>
      </c>
      <c r="C13" t="str">
        <v>601099513377661</v>
      </c>
      <c r="D13" t="str">
        <v>* Gaming/office mechanical keyboard, wired USB plug, keys with * lighting effects, 104 keys punk keycaps/round keys, suitable for Windows/* laptops, universal device for typing at home or for *.</v>
      </c>
      <c r="E13">
        <v>30.34</v>
      </c>
      <c r="F13">
        <v>173.99</v>
      </c>
      <c r="G13">
        <v>82.56</v>
      </c>
      <c r="H13">
        <f>IF(E13="","",ROUND(E13*Resumen!$B$3,2))</f>
      </c>
      <c r="I13">
        <v>4.8</v>
      </c>
      <c r="J13">
        <v>859</v>
      </c>
      <c r="K13">
        <v>38000</v>
      </c>
      <c r="L13" t="str">
        <v>38K+ sold</v>
      </c>
      <c r="M13" t="str">
        <v/>
      </c>
      <c r="N13" t="str">
        <v>https://img.kwcdn.com/product/Fancyalgo/VirtualModelMatting/85ea2a78b75932b97b2b2bf3368e4a60.jpg</v>
      </c>
      <c r="O13" t="str">
        <v>https://www.temu.com/goods.html?goods_id=601099513377661</v>
      </c>
    </row>
    <row r="14">
      <c r="A14" t="str">
        <v>Computación</v>
      </c>
      <c r="B14" t="str">
        <v>usb hub</v>
      </c>
      <c r="C14" t="str">
        <v>601101648932287</v>
      </c>
      <c r="D14" t="str">
        <v>4USB 4Type-C Hub Extension Docking Station</v>
      </c>
      <c r="E14">
        <v>6.24</v>
      </c>
      <c r="F14">
        <v>22.66</v>
      </c>
      <c r="G14">
        <v>72.46</v>
      </c>
      <c r="H14">
        <f>IF(E14="","",ROUND(E14*Resumen!$B$3,2))</f>
      </c>
      <c r="I14">
        <v>5</v>
      </c>
      <c r="J14">
        <v>14</v>
      </c>
      <c r="K14">
        <v>37000</v>
      </c>
      <c r="L14" t="str">
        <v>37K+ sold</v>
      </c>
      <c r="M14" t="str">
        <v/>
      </c>
      <c r="N14" t="str">
        <v>https://img.kwcdn.com/product/open/5680abcd6a644c609d04fcd7e674323e-goods.jpeg</v>
      </c>
      <c r="O14" t="str">
        <v>https://www.temu.com/goods.html?goods_id=601101648932287</v>
      </c>
    </row>
    <row r="15">
      <c r="A15" t="str">
        <v>Computación</v>
      </c>
      <c r="B15" t="str">
        <v>wireless mouse</v>
      </c>
      <c r="C15" t="str">
        <v>601100097950522</v>
      </c>
      <c r="D15" t="str">
        <v>Mini Wireless Mouse, Ultra-Thin, Silent, Battery-Powered Compatible with Ipad, Laptop, Desktop - Macaron Colors, for Home, Office</v>
      </c>
      <c r="E15">
        <v>2.83</v>
      </c>
      <c r="F15">
        <v>25.41</v>
      </c>
      <c r="G15">
        <v>88.86</v>
      </c>
      <c r="H15">
        <f>IF(E15="","",ROUND(E15*Resumen!$B$3,2))</f>
      </c>
      <c r="I15">
        <v>4.6</v>
      </c>
      <c r="J15">
        <v>72</v>
      </c>
      <c r="K15">
        <v>35000</v>
      </c>
      <c r="L15" t="str">
        <v>35K+ sold</v>
      </c>
      <c r="M15" t="str">
        <v/>
      </c>
      <c r="N15" t="str">
        <v>https://img.kwcdn.com/product/fancy/b15249bf-183c-400a-9e16-70f834e94d98.jpg</v>
      </c>
      <c r="O15" t="str">
        <v>https://www.temu.com/goods.html?goods_id=601100097950522</v>
      </c>
    </row>
    <row r="16">
      <c r="A16" t="str">
        <v>Computación</v>
      </c>
      <c r="B16" t="str">
        <v>usb hub</v>
      </c>
      <c r="C16" t="str">
        <v>601099513126169</v>
      </c>
      <c r="D16" t="str">
        <v>USB 3.0 Hub, 4-Port USB Hub USB Splitter USB Expander for Laptop, *, Flash Drive, HDD, Console, Printer, Camera,Keyborad, Mouse</v>
      </c>
      <c r="E16">
        <v>4.74</v>
      </c>
      <c r="F16">
        <v>38.04</v>
      </c>
      <c r="G16">
        <v>87.54</v>
      </c>
      <c r="H16">
        <f>IF(E16="","",ROUND(E16*Resumen!$B$3,2))</f>
      </c>
      <c r="I16">
        <v>4.7</v>
      </c>
      <c r="J16">
        <v>634</v>
      </c>
      <c r="K16">
        <v>35000</v>
      </c>
      <c r="L16" t="str">
        <v>35K+ sold</v>
      </c>
      <c r="M16" t="str">
        <v/>
      </c>
      <c r="N16" t="str">
        <v>https://img.kwcdn.com/product/Fancyalgo/VirtualModelMatting/0b577105be8789a2c33282667607dbdf.jpg</v>
      </c>
      <c r="O16" t="str">
        <v>https://www.temu.com/goods.html?goods_id=601099513126169</v>
      </c>
    </row>
    <row r="17">
      <c r="A17" t="str">
        <v>Computación</v>
      </c>
      <c r="B17" t="str">
        <v>keyboard</v>
      </c>
      <c r="C17" t="str">
        <v>601099517437326</v>
      </c>
      <c r="D17" t="str">
        <v>RGB Game USB Luminous Keyboard, Mini 60% Computer Keyboard Shrink 61 Key Desktop Computer Notebook</v>
      </c>
      <c r="E17">
        <v>14.54</v>
      </c>
      <c r="F17">
        <v>98.1</v>
      </c>
      <c r="G17">
        <v>85.18</v>
      </c>
      <c r="H17">
        <f>IF(E17="","",ROUND(E17*Resumen!$B$3,2))</f>
      </c>
      <c r="I17">
        <v>4.5</v>
      </c>
      <c r="J17">
        <v>105</v>
      </c>
      <c r="K17">
        <v>32000</v>
      </c>
      <c r="L17" t="str">
        <v>32K+ sold</v>
      </c>
      <c r="M17" t="str">
        <v/>
      </c>
      <c r="N17" t="str">
        <v>https://img.kwcdn.com/product/fancy/d0747ebb-43cf-4dc1-b7d2-b3d277350c8f.jpg</v>
      </c>
      <c r="O17" t="str">
        <v>https://www.temu.com/goods.html?goods_id=601099517437326</v>
      </c>
    </row>
    <row r="18">
      <c r="A18" t="str">
        <v>Computación</v>
      </c>
      <c r="B18" t="str">
        <v>usb hub</v>
      </c>
      <c r="C18" t="str">
        <v>601104879512159</v>
      </c>
      <c r="D18" t="str">
        <v>7-Port USB Hub, 4-Port USB Hub, * USB 3.0 Data Hub Splitter for Laptop PC Macbook, Plug And Play * USB Expander (USB/USB-C to 4USB Ports/7Usb Ports) USB. No Driver Required Hub for Mouse Keyboard Printer</v>
      </c>
      <c r="E18">
        <v>5.4</v>
      </c>
      <c r="H18">
        <f>IF(E18="","",ROUND(E18*Resumen!$B$3,2))</f>
      </c>
      <c r="I18">
        <v>4.7</v>
      </c>
      <c r="J18">
        <v>130</v>
      </c>
      <c r="K18">
        <v>30000</v>
      </c>
      <c r="L18" t="str">
        <v>30K+ sold</v>
      </c>
      <c r="M18" t="str">
        <v/>
      </c>
      <c r="N18" t="str">
        <v>https://img.kwcdn.com/product/fancy/3ddcd8aa-5cdb-47a6-9b72-ee7553bbbf55.jpg</v>
      </c>
      <c r="O18" t="str">
        <v>https://www.temu.com/goods.html?goods_id=601104879512159</v>
      </c>
    </row>
    <row r="19">
      <c r="A19" t="str">
        <v>Computación</v>
      </c>
      <c r="B19" t="str">
        <v>usb hub</v>
      </c>
      <c r="C19" t="str">
        <v>601099539359733</v>
      </c>
      <c r="D19" t="str">
        <v>Black Independent * *-bit Splitter Hub USB Multi-interface Hub *-port Expansion Dock</v>
      </c>
      <c r="E19">
        <v>2.9</v>
      </c>
      <c r="F19">
        <v>4.56</v>
      </c>
      <c r="G19">
        <v>36.4</v>
      </c>
      <c r="H19">
        <f>IF(E19="","",ROUND(E19*Resumen!$B$3,2))</f>
      </c>
      <c r="I19">
        <v>4.6</v>
      </c>
      <c r="J19">
        <v>1193</v>
      </c>
      <c r="K19">
        <v>28000</v>
      </c>
      <c r="L19" t="str">
        <v>28K+ sold</v>
      </c>
      <c r="M19" t="str">
        <v/>
      </c>
      <c r="N19" t="str">
        <v>https://img.kwcdn.com/product/Fancyalgo/VirtualModelMatting/04819db3c35e4689a4cf2c1d5966ad67.jpg</v>
      </c>
      <c r="O19" t="str">
        <v>https://www.temu.com/goods.html?goods_id=601099539359733</v>
      </c>
    </row>
    <row r="20">
      <c r="A20" t="str">
        <v>Computación</v>
      </c>
      <c r="B20" t="str">
        <v>keyboard</v>
      </c>
      <c r="C20" t="str">
        <v>601099514854017</v>
      </c>
      <c r="D20" t="str">
        <v>* Wired Keyboard | Backlit USB Keyboard for Gaming and Office Use, Compatible with Laptops</v>
      </c>
      <c r="E20">
        <v>13.4</v>
      </c>
      <c r="F20">
        <v>37.39</v>
      </c>
      <c r="G20">
        <v>64.16</v>
      </c>
      <c r="H20">
        <f>IF(E20="","",ROUND(E20*Resumen!$B$3,2))</f>
      </c>
      <c r="I20">
        <v>4.5</v>
      </c>
      <c r="J20">
        <v>729</v>
      </c>
      <c r="K20">
        <v>24000</v>
      </c>
      <c r="L20" t="str">
        <v>24K+ sold</v>
      </c>
      <c r="M20" t="str">
        <v/>
      </c>
      <c r="N20" t="str">
        <v>https://img.kwcdn.com/product/fancy/35c17e55-e0ba-4bb7-a27f-2bf7472375de.jpg</v>
      </c>
      <c r="O20" t="str">
        <v>https://www.temu.com/goods.html?goods_id=601099514854017</v>
      </c>
    </row>
    <row r="21">
      <c r="A21" t="str">
        <v>Computación</v>
      </c>
      <c r="B21" t="str">
        <v>usb hub</v>
      </c>
      <c r="C21" t="str">
        <v>605966061935980</v>
      </c>
      <c r="D21" t="str">
        <v>1pc White 12-Port Fast Charging Hub, 6pcs USB Ports And 6pcs Type-C PD Fast Charging Ports Power Hub, Multi-User * * Output Socket, Multi-User * Desktop Charging Artifact, Multifunctional USB Extension Socket, USB-C And A Hub</v>
      </c>
      <c r="E21">
        <v>3.72</v>
      </c>
      <c r="F21">
        <v>30.6</v>
      </c>
      <c r="G21">
        <v>87.84</v>
      </c>
      <c r="H21">
        <f>IF(E21="","",ROUND(E21*Resumen!$B$3,2))</f>
      </c>
      <c r="I21">
        <v>4.8</v>
      </c>
      <c r="J21">
        <v>1755</v>
      </c>
      <c r="K21">
        <v>24000</v>
      </c>
      <c r="L21" t="str">
        <v>24K+ sold</v>
      </c>
      <c r="M21" t="str">
        <v/>
      </c>
      <c r="N21" t="str">
        <v>https://img.kwcdn.com/product/fancy/4117e24b-9ced-49fa-9d53-0bfa9ce54f8c.jpg</v>
      </c>
      <c r="O21" t="str">
        <v>https://www.temu.com/goods.html?goods_id=605966061935980</v>
      </c>
    </row>
    <row r="22">
      <c r="A22" t="str">
        <v>Computación</v>
      </c>
      <c r="B22" t="str">
        <v>keyboard</v>
      </c>
      <c r="C22" t="str">
        <v>601099616740323</v>
      </c>
      <c r="D22" t="str">
        <v>* Gaming Keyboard Wired *ow Backlit, Portable Office Keyboard with 98 Keys, * with Multimedia Knob And Ball Keycaps, for * And Office Use, Compatible with Windows/Laptop Gaming Periphe*ls</v>
      </c>
      <c r="E22">
        <v>23.58</v>
      </c>
      <c r="F22">
        <v>130.97</v>
      </c>
      <c r="G22">
        <v>82</v>
      </c>
      <c r="H22">
        <f>IF(E22="","",ROUND(E22*Resumen!$B$3,2))</f>
      </c>
      <c r="I22">
        <v>4.8</v>
      </c>
      <c r="J22">
        <v>134</v>
      </c>
      <c r="K22">
        <v>23000</v>
      </c>
      <c r="L22" t="str">
        <v>23K+ sold</v>
      </c>
      <c r="M22" t="str">
        <v/>
      </c>
      <c r="N22" t="str">
        <v>https://img.kwcdn.com/product/fancy/163222c0-b518-4c40-8d4e-aa284cf0bd71.jpg</v>
      </c>
      <c r="O22" t="str">
        <v>https://www.temu.com/goods.html?goods_id=601099616740323</v>
      </c>
    </row>
    <row r="23">
      <c r="A23" t="str">
        <v>Computación</v>
      </c>
      <c r="B23" t="str">
        <v>usb hub</v>
      </c>
      <c r="C23" t="str">
        <v>601099571814186</v>
      </c>
      <c r="D23" t="str">
        <v>USB Hub, 4 Port USB Hub, Ultra * Portable Data Hub Applicable for * Pro, *, * Mini/Pro, Surface Pro, Notebook PC, Laptop, USB Flash Drives, * HDD.</v>
      </c>
      <c r="E23">
        <v>1.7</v>
      </c>
      <c r="F23">
        <v>1.92</v>
      </c>
      <c r="G23">
        <v>11.46</v>
      </c>
      <c r="H23">
        <f>IF(E23="","",ROUND(E23*Resumen!$B$3,2))</f>
      </c>
      <c r="I23">
        <v>4.8</v>
      </c>
      <c r="J23">
        <v>153</v>
      </c>
      <c r="K23">
        <v>22000</v>
      </c>
      <c r="L23" t="str">
        <v>22K+ sold</v>
      </c>
      <c r="M23" t="str">
        <v/>
      </c>
      <c r="N23" t="str">
        <v>https://img.kwcdn.com/product/open/2024-04-27/1714214540795-aa9ec3f955f241ebb0ab5a4cc7f0bfdd-goods.jpeg</v>
      </c>
      <c r="O23" t="str">
        <v>https://www.temu.com/goods.html?goods_id=601099571814186</v>
      </c>
    </row>
    <row r="24">
      <c r="A24" t="str">
        <v>Computación</v>
      </c>
      <c r="B24" t="str">
        <v>usb hub</v>
      </c>
      <c r="C24" t="str">
        <v>601101723207120</v>
      </c>
      <c r="D24" t="str">
        <v>7-In-1 USB 3.0 * Data Transfer Hub, Multiport Expansion Featuring Type-C And USB-A Connectors, Compatible with Tablets, Operates at 5V, * USB</v>
      </c>
      <c r="E24">
        <v>4.08</v>
      </c>
      <c r="F24">
        <v>58.38</v>
      </c>
      <c r="G24">
        <v>93.01</v>
      </c>
      <c r="H24">
        <f>IF(E24="","",ROUND(E24*Resumen!$B$3,2))</f>
      </c>
      <c r="I24">
        <v>4.8</v>
      </c>
      <c r="J24">
        <v>415</v>
      </c>
      <c r="K24">
        <v>22000</v>
      </c>
      <c r="L24" t="str">
        <v>22K+ sold</v>
      </c>
      <c r="M24" t="str">
        <v/>
      </c>
      <c r="N24" t="str">
        <v>https://img.kwcdn.com/product/open/fdca6335e2c44be6a764536cf6cffebc-goods.jpeg</v>
      </c>
      <c r="O24" t="str">
        <v>https://www.temu.com/goods.html?goods_id=601101723207120</v>
      </c>
    </row>
    <row r="25">
      <c r="A25" t="str">
        <v>Computación</v>
      </c>
      <c r="B25" t="str">
        <v>usb hub</v>
      </c>
      <c r="C25" t="str">
        <v>606354420914817</v>
      </c>
      <c r="D25" t="str">
        <v>* 12-In-1 65W Power Strip Adapter, 6 USB Ports + 6 Type-C Fast Charging Ports, Type-C * Plug/Multi-Output Power Strip, USB-C Hub, Power Hub with Fast Charging Ports, USB Hub/* Hub, Suitable for Laptops, Smartphones</v>
      </c>
      <c r="E25">
        <v>3.95</v>
      </c>
      <c r="F25">
        <v>10</v>
      </c>
      <c r="G25">
        <v>60.5</v>
      </c>
      <c r="H25">
        <f>IF(E25="","",ROUND(E25*Resumen!$B$3,2))</f>
      </c>
      <c r="I25">
        <v>4.7</v>
      </c>
      <c r="J25">
        <v>209</v>
      </c>
      <c r="K25">
        <v>20000</v>
      </c>
      <c r="L25" t="str">
        <v>20K+ sold</v>
      </c>
      <c r="M25" t="str">
        <v/>
      </c>
      <c r="N25" t="str">
        <v>https://img.kwcdn.com/product/algo_check/auto/67f7b05df439f9a23b65cb121d92f511_1777877521070.jpg</v>
      </c>
      <c r="O25" t="str">
        <v>https://www.temu.com/goods.html?goods_id=606354420914817</v>
      </c>
    </row>
    <row r="26">
      <c r="A26" t="str">
        <v>Computación</v>
      </c>
      <c r="B26" t="str">
        <v>keyboard</v>
      </c>
      <c r="C26" t="str">
        <v>601099578444338</v>
      </c>
      <c r="D26" t="str">
        <v>60% Mechanical Keyboard, Gaming Keyboard with Blue Switches And * Backlit Small Compact 60 Percent Keyboard Mechanical, Portable 60 Percent Gaming Keyboard Gamer</v>
      </c>
      <c r="E26">
        <v>28.27</v>
      </c>
      <c r="F26">
        <v>104.55</v>
      </c>
      <c r="G26">
        <v>72.96</v>
      </c>
      <c r="H26">
        <f>IF(E26="","",ROUND(E26*Resumen!$B$3,2))</f>
      </c>
      <c r="I26">
        <v>4.8</v>
      </c>
      <c r="J26">
        <v>229</v>
      </c>
      <c r="K26">
        <v>19000</v>
      </c>
      <c r="L26" t="str">
        <v>19K+ sold</v>
      </c>
      <c r="M26" t="str">
        <v/>
      </c>
      <c r="N26" t="str">
        <v>https://img.kwcdn.com/product/fancy/234fd199-b67a-45c7-9c95-fcd7beb80bbe.jpg</v>
      </c>
      <c r="O26" t="str">
        <v>https://www.temu.com/goods.html?goods_id=601099578444338</v>
      </c>
    </row>
    <row r="27">
      <c r="A27" t="str">
        <v>Computación</v>
      </c>
      <c r="B27" t="str">
        <v>keyboard</v>
      </c>
      <c r="C27" t="str">
        <v>601099512210417</v>
      </c>
      <c r="D27" t="str">
        <v>* Ultra-Thin USB-Powered Ergonomic Keyboard for 12-Inch Laptops &amp; Desktops - 78 Keys, No Batteries Needed, Compatible with Windows &amp; * Operating Systems, Laptop Keyboard, *, Durable Build</v>
      </c>
      <c r="E27">
        <v>7.71</v>
      </c>
      <c r="F27">
        <v>47.02</v>
      </c>
      <c r="G27">
        <v>83.6</v>
      </c>
      <c r="H27">
        <f>IF(E27="","",ROUND(E27*Resumen!$B$3,2))</f>
      </c>
      <c r="I27">
        <v>4.8</v>
      </c>
      <c r="J27">
        <v>246</v>
      </c>
      <c r="K27">
        <v>17000</v>
      </c>
      <c r="L27" t="str">
        <v>17K+ sold</v>
      </c>
      <c r="M27" t="str">
        <v/>
      </c>
      <c r="N27" t="str">
        <v>https://img.kwcdn.com/product/Fancyalgo/VirtualModelMatting/fdd7d44305efd3e96d80229e0f9628e8.jpg</v>
      </c>
      <c r="O27" t="str">
        <v>https://www.temu.com/goods.html?goods_id=601099512210417</v>
      </c>
    </row>
    <row r="28">
      <c r="A28" t="str">
        <v>Computación</v>
      </c>
      <c r="B28" t="str">
        <v>wireless mouse</v>
      </c>
      <c r="C28" t="str">
        <v>601099730508916</v>
      </c>
      <c r="D28" t="str">
        <v>2.4G Wireless Gaming Mouse, Silent, Rechargeable, with Colorful Breathing LED Lights, 7-Button Single-Mode Mouse</v>
      </c>
      <c r="E28">
        <v>9.06</v>
      </c>
      <c r="F28">
        <v>50.59</v>
      </c>
      <c r="G28">
        <v>82.09</v>
      </c>
      <c r="H28">
        <f>IF(E28="","",ROUND(E28*Resumen!$B$3,2))</f>
      </c>
      <c r="I28">
        <v>4.8</v>
      </c>
      <c r="J28">
        <v>221</v>
      </c>
      <c r="K28">
        <v>16000</v>
      </c>
      <c r="L28" t="str">
        <v>16K+ sold</v>
      </c>
      <c r="M28" t="str">
        <v/>
      </c>
      <c r="N28" t="str">
        <v>https://img.kwcdn.com/product/fancy/a558dda7-7367-497d-a0f2-e6e1cc28683d.jpg</v>
      </c>
      <c r="O28" t="str">
        <v>https://www.temu.com/goods.html?goods_id=601099730508916</v>
      </c>
    </row>
    <row r="29">
      <c r="A29" t="str">
        <v>Computación</v>
      </c>
      <c r="B29" t="str">
        <v>usb hub</v>
      </c>
      <c r="C29" t="str">
        <v>601100678832774</v>
      </c>
      <c r="D29" t="str">
        <v>10-Port USB Hub Compatible for MacBook/PC/Laptop - * Charging &amp; Data Transfer USB- Hub with 10-Device, Plug-and-* Adapter (Compatible with USB Devices)</v>
      </c>
      <c r="E29">
        <v>4.38</v>
      </c>
      <c r="F29">
        <v>35.95</v>
      </c>
      <c r="G29">
        <v>87.82</v>
      </c>
      <c r="H29">
        <f>IF(E29="","",ROUND(E29*Resumen!$B$3,2))</f>
      </c>
      <c r="I29">
        <v>4.7</v>
      </c>
      <c r="J29">
        <v>2607</v>
      </c>
      <c r="K29">
        <v>16000</v>
      </c>
      <c r="L29" t="str">
        <v>16K+ sold</v>
      </c>
      <c r="M29" t="str">
        <v/>
      </c>
      <c r="N29" t="str">
        <v>https://img.kwcdn.com/product/fancy/5b6f9f8a-9b78-4e07-8449-5cb6f600dd9c.jpg</v>
      </c>
      <c r="O29" t="str">
        <v>https://www.temu.com/goods.html?goods_id=601100678832774</v>
      </c>
    </row>
    <row r="30">
      <c r="A30" t="str">
        <v>Computación</v>
      </c>
      <c r="B30" t="str">
        <v>keyboard</v>
      </c>
      <c r="C30" t="str">
        <v>601099518059876</v>
      </c>
      <c r="D30" t="str">
        <v>* Computer Wired Keyboard * Game Home Typing Office Desktop Notebook Universal Light *</v>
      </c>
      <c r="E30">
        <v>14.83</v>
      </c>
      <c r="F30">
        <v>60.63</v>
      </c>
      <c r="G30">
        <v>75.54</v>
      </c>
      <c r="H30">
        <f>IF(E30="","",ROUND(E30*Resumen!$B$3,2))</f>
      </c>
      <c r="I30">
        <v>4.6</v>
      </c>
      <c r="J30">
        <v>766</v>
      </c>
      <c r="K30">
        <v>15000</v>
      </c>
      <c r="L30" t="str">
        <v>15K+ sold</v>
      </c>
      <c r="M30" t="str">
        <v/>
      </c>
      <c r="N30" t="str">
        <v>https://img.kwcdn.com/product/Fancyalgo/VirtualModelMatting/efb30b5924ea975678dd57d5bc05b858.jpg</v>
      </c>
      <c r="O30" t="str">
        <v>https://www.temu.com/goods.html?goods_id=601099518059876</v>
      </c>
    </row>
    <row r="31">
      <c r="A31" t="str">
        <v>Computación</v>
      </c>
      <c r="B31" t="str">
        <v>usb hub</v>
      </c>
      <c r="C31" t="str">
        <v>601105082080607</v>
      </c>
      <c r="D31" t="str">
        <v>3.0 * * Adapter * Data Transfer 4-Port USB 3.0 &amp; Type-C Hub for Laptop PC Mouse Flash *</v>
      </c>
      <c r="E31">
        <v>1.77</v>
      </c>
      <c r="F31">
        <v>10.42</v>
      </c>
      <c r="G31">
        <v>83.01</v>
      </c>
      <c r="H31">
        <f>IF(E31="","",ROUND(E31*Resumen!$B$3,2))</f>
      </c>
      <c r="I31">
        <v>4.7</v>
      </c>
      <c r="J31">
        <v>111</v>
      </c>
      <c r="K31">
        <v>15000</v>
      </c>
      <c r="L31" t="str">
        <v>15K+ sold</v>
      </c>
      <c r="M31" t="str">
        <v/>
      </c>
      <c r="N31" t="str">
        <v>https://img.kwcdn.com/product/fancy/bf06645e-2a70-4a12-a522-cfd97520ca23.jpg</v>
      </c>
      <c r="O31" t="str">
        <v>https://www.temu.com/goods.html?goods_id=601105082080607</v>
      </c>
    </row>
    <row r="32">
      <c r="A32" t="str">
        <v>Computación</v>
      </c>
      <c r="B32" t="str">
        <v>wireless mouse</v>
      </c>
      <c r="C32" t="str">
        <v>601099707331198</v>
      </c>
      <c r="D32" t="str">
        <v>*-C Wireless Mouse + 2.4G Dual Receiver Rechargeable Silent Mouse</v>
      </c>
      <c r="E32">
        <v>11.07</v>
      </c>
      <c r="F32">
        <v>43.86</v>
      </c>
      <c r="G32">
        <v>74.76</v>
      </c>
      <c r="H32">
        <f>IF(E32="","",ROUND(E32*Resumen!$B$3,2))</f>
      </c>
      <c r="I32">
        <v>4.8</v>
      </c>
      <c r="J32">
        <v>86</v>
      </c>
      <c r="K32">
        <v>14000</v>
      </c>
      <c r="L32" t="str">
        <v>14K+ sold</v>
      </c>
      <c r="M32" t="str">
        <v/>
      </c>
      <c r="N32" t="str">
        <v>https://img.kwcdn.com/product/fancy/37caedd6-751c-400d-926e-cb72c1882079.jpg</v>
      </c>
      <c r="O32" t="str">
        <v>https://www.temu.com/goods.html?goods_id=601099707331198</v>
      </c>
    </row>
    <row r="33">
      <c r="A33" t="str">
        <v>Computación</v>
      </c>
      <c r="B33" t="str">
        <v>usb hub</v>
      </c>
      <c r="C33" t="str">
        <v>601101775717819</v>
      </c>
      <c r="D33" t="str">
        <v>Multi USB 3.0 HUB Adapter Extender * * to 3 Ports High Speed USB 2.0 for PC Laptop U Disk Card Reader with Chain/ *</v>
      </c>
      <c r="E33">
        <v>1.64</v>
      </c>
      <c r="F33">
        <v>2.95</v>
      </c>
      <c r="G33">
        <v>44.41</v>
      </c>
      <c r="H33">
        <f>IF(E33="","",ROUND(E33*Resumen!$B$3,2))</f>
      </c>
      <c r="I33">
        <v>5</v>
      </c>
      <c r="J33">
        <v>64</v>
      </c>
      <c r="K33">
        <v>13000</v>
      </c>
      <c r="L33" t="str">
        <v>13K+ sold</v>
      </c>
      <c r="M33" t="str">
        <v/>
      </c>
      <c r="N33" t="str">
        <v>https://img.kwcdn.com/product/fancy/2a172477-ed10-4cc4-b775-b2cbbbf0fb4b.jpg</v>
      </c>
      <c r="O33" t="str">
        <v>https://www.temu.com/goods.html?goods_id=601101775717819</v>
      </c>
    </row>
    <row r="34">
      <c r="A34" t="str">
        <v>Computación</v>
      </c>
      <c r="B34" t="str">
        <v>keyboard</v>
      </c>
      <c r="C34" t="str">
        <v>601099576291196</v>
      </c>
      <c r="D34" t="str">
        <v>*, Silent Keyboard Mouse Combo, Full-Sized Colorful Typewriter Keyboard with Round Keycaps, 2.4G Cute Mouse Compatible with PC/Laptop/Computer for new year gift</v>
      </c>
      <c r="E34">
        <v>18.66</v>
      </c>
      <c r="F34">
        <v>89</v>
      </c>
      <c r="G34">
        <v>79.03</v>
      </c>
      <c r="H34">
        <f>IF(E34="","",ROUND(E34*Resumen!$B$3,2))</f>
      </c>
      <c r="I34">
        <v>4.8</v>
      </c>
      <c r="J34">
        <v>1834</v>
      </c>
      <c r="K34">
        <v>12000</v>
      </c>
      <c r="L34" t="str">
        <v>12K+ sold</v>
      </c>
      <c r="M34" t="str">
        <v/>
      </c>
      <c r="N34" t="str">
        <v>https://img.kwcdn.com/product/fancy/2f44a4ca-5ee0-459a-9ace-b5b23c59170a.jpg</v>
      </c>
      <c r="O34" t="str">
        <v>https://www.temu.com/goods.html?goods_id=601099576291196</v>
      </c>
    </row>
    <row r="35">
      <c r="A35" t="str">
        <v>Computación</v>
      </c>
      <c r="B35" t="str">
        <v>keyboard</v>
      </c>
      <c r="C35" t="str">
        <v>601099791279318</v>
      </c>
      <c r="D35" t="str">
        <v>* New Original AK820 Wired Mechanical Keyboard, Backlit, Full-Key Hot-Swappable, 75% Layout with Metal Knob, Suitable for Office Use</v>
      </c>
      <c r="E35">
        <v>35.33</v>
      </c>
      <c r="F35">
        <v>170.13</v>
      </c>
      <c r="G35">
        <v>79.23</v>
      </c>
      <c r="H35">
        <f>IF(E35="","",ROUND(E35*Resumen!$B$3,2))</f>
      </c>
      <c r="I35">
        <v>4.8</v>
      </c>
      <c r="J35">
        <v>58</v>
      </c>
      <c r="K35">
        <v>12000</v>
      </c>
      <c r="L35" t="str">
        <v>12K+ sold</v>
      </c>
      <c r="M35" t="str">
        <v/>
      </c>
      <c r="N35" t="str">
        <v>https://img.kwcdn.com/product/fancy/9bb14d01-f814-4b44-afc0-86e4ba725e14.jpg</v>
      </c>
      <c r="O35" t="str">
        <v>https://www.temu.com/goods.html?goods_id=601099791279318</v>
      </c>
    </row>
    <row r="36">
      <c r="A36" t="str">
        <v>Computación</v>
      </c>
      <c r="B36" t="str">
        <v>usb hub</v>
      </c>
      <c r="C36" t="str">
        <v>601105246687832</v>
      </c>
      <c r="D36" t="str">
        <v>3.0 Aluminum Alloy *-In-One, *-In-One USB Type-C Hub</v>
      </c>
      <c r="E36">
        <v>3.8</v>
      </c>
      <c r="F36">
        <v>6.64</v>
      </c>
      <c r="G36">
        <v>42.77</v>
      </c>
      <c r="H36">
        <f>IF(E36="","",ROUND(E36*Resumen!$B$3,2))</f>
      </c>
      <c r="I36">
        <v>4.7</v>
      </c>
      <c r="J36">
        <v>191</v>
      </c>
      <c r="K36">
        <v>12000</v>
      </c>
      <c r="L36" t="str">
        <v>12K+ sold</v>
      </c>
      <c r="M36" t="str">
        <v/>
      </c>
      <c r="N36" t="str">
        <v>https://img.kwcdn.com/product/fancy/7de936b0-f08f-4539-b163-94828f811aed.jpg</v>
      </c>
      <c r="O36" t="str">
        <v>https://www.temu.com/goods.html?goods_id=601105246687832</v>
      </c>
    </row>
    <row r="37">
      <c r="A37" t="str">
        <v>Computación</v>
      </c>
      <c r="B37" t="str">
        <v>keyboard</v>
      </c>
      <c r="C37" t="str">
        <v>601099592102814</v>
      </c>
      <c r="D37" t="str">
        <v>* Punk Typewriter Mechanical Gaming Keyboard, * Panel 104Keys Wired Retro Punk Round Keycaps with LED Backlit USB Wired Keyboards, Multimedia knob, * for Game and Office, for Windows Laptop * Peripherals</v>
      </c>
      <c r="E37">
        <v>40.1</v>
      </c>
      <c r="F37">
        <v>215.9</v>
      </c>
      <c r="G37">
        <v>81.43</v>
      </c>
      <c r="H37">
        <f>IF(E37="","",ROUND(E37*Resumen!$B$3,2))</f>
      </c>
      <c r="I37">
        <v>4.8</v>
      </c>
      <c r="J37">
        <v>320</v>
      </c>
      <c r="K37">
        <v>11000</v>
      </c>
      <c r="L37" t="str">
        <v>11K+ sold</v>
      </c>
      <c r="M37" t="str">
        <v/>
      </c>
      <c r="N37" t="str">
        <v>https://img.kwcdn.com/product/fancy/ab4e534c-d646-414f-a47e-6c762d6388d0.jpg</v>
      </c>
      <c r="O37" t="str">
        <v>https://www.temu.com/goods.html?goods_id=601099592102814</v>
      </c>
    </row>
    <row r="38">
      <c r="A38" t="str">
        <v>Computación</v>
      </c>
      <c r="B38" t="str">
        <v>keyboard</v>
      </c>
      <c r="C38" t="str">
        <v>601099603457269</v>
      </c>
      <c r="D38" t="str">
        <v>ZYY 2.4G Wireless Keyboard with Backlit Touchpad &amp; Mouse - - Low-Power Keyboard Compatible for PC, Notebook, Smart TV Box - Plug-and-Play, Included, Type- (No Adapter)</v>
      </c>
      <c r="E38">
        <v>33.46</v>
      </c>
      <c r="F38">
        <v>77.68</v>
      </c>
      <c r="G38">
        <v>56.93</v>
      </c>
      <c r="H38">
        <f>IF(E38="","",ROUND(E38*Resumen!$B$3,2))</f>
      </c>
      <c r="I38">
        <v>4.8</v>
      </c>
      <c r="J38">
        <v>488</v>
      </c>
      <c r="K38">
        <v>11000</v>
      </c>
      <c r="L38" t="str">
        <v>11K+ sold</v>
      </c>
      <c r="M38" t="str">
        <v/>
      </c>
      <c r="N38" t="str">
        <v>https://img.kwcdn.com/product/fancy/3c9a4966-db20-4ca7-b374-af0525153875.jpg</v>
      </c>
      <c r="O38" t="str">
        <v>https://www.temu.com/goods.html?goods_id=601099603457269</v>
      </c>
    </row>
    <row r="39">
      <c r="A39" t="str">
        <v>Computación</v>
      </c>
      <c r="B39" t="str">
        <v>keyboard</v>
      </c>
      <c r="C39" t="str">
        <v>601099665030891</v>
      </c>
      <c r="D39" t="str">
        <v>* AK820 75% Wired Mechanical Keyboard, RGB/Single Light, Volume Knob, 5-Layer Sound Dampening, PBT Keycaps, Full-Key Hot-Swappable, Gaming Keyboard, Popular Colors, Ideal for FPS Gaming &amp; Office Use</v>
      </c>
      <c r="E39">
        <v>35.47</v>
      </c>
      <c r="F39">
        <v>170.13</v>
      </c>
      <c r="G39">
        <v>79.15</v>
      </c>
      <c r="H39">
        <f>IF(E39="","",ROUND(E39*Resumen!$B$3,2))</f>
      </c>
      <c r="I39">
        <v>4.9</v>
      </c>
      <c r="J39">
        <v>17</v>
      </c>
      <c r="K39">
        <v>11000</v>
      </c>
      <c r="L39" t="str">
        <v>11K+ sold</v>
      </c>
      <c r="M39" t="str">
        <v/>
      </c>
      <c r="N39" t="str">
        <v>https://img.kwcdn.com/product/fancy/0479c1db-41f4-40ff-be07-0c6e39c5e437.jpg</v>
      </c>
      <c r="O39" t="str">
        <v>https://www.temu.com/goods.html?goods_id=601099665030891</v>
      </c>
    </row>
    <row r="40">
      <c r="A40" t="str">
        <v>Computación</v>
      </c>
      <c r="B40" t="str">
        <v>usb hub</v>
      </c>
      <c r="C40" t="str">
        <v>601099851561583</v>
      </c>
      <c r="D40" t="str">
        <v>* USB 2.0 Hub with Type C to USB Adapter, Compatible with Laptops and Smartphones OTG, Ethernet Printer Mouse - USB Charging, Low Voltage Operation</v>
      </c>
      <c r="E40">
        <v>1.57</v>
      </c>
      <c r="F40">
        <v>2.3</v>
      </c>
      <c r="G40">
        <v>31.74</v>
      </c>
      <c r="H40">
        <f>IF(E40="","",ROUND(E40*Resumen!$B$3,2))</f>
      </c>
      <c r="I40">
        <v>4.9</v>
      </c>
      <c r="J40">
        <v>37</v>
      </c>
      <c r="K40">
        <v>11000</v>
      </c>
      <c r="L40" t="str">
        <v>11K+ sold</v>
      </c>
      <c r="M40" t="str">
        <v/>
      </c>
      <c r="N40" t="str">
        <v>https://img.kwcdn.com/product/fancy/ec6ca530-6f8a-4fe2-a35f-0b0a43863226.jpg</v>
      </c>
      <c r="O40" t="str">
        <v>https://www.temu.com/goods.html?goods_id=601099851561583</v>
      </c>
    </row>
    <row r="41">
      <c r="A41" t="str">
        <v>Computación</v>
      </c>
      <c r="B41" t="str">
        <v>wireless mouse</v>
      </c>
      <c r="C41" t="str">
        <v>601101379797219</v>
      </c>
      <c r="D41" t="str">
        <v>Wireless Mouse, * Portable Computer Mouse, Features Silent * for *, * with Type-C Charging Interface, Suitable for */Pcs/Desktop Computers</v>
      </c>
      <c r="E41">
        <v>6.42</v>
      </c>
      <c r="F41">
        <v>8.71</v>
      </c>
      <c r="G41">
        <v>26.29</v>
      </c>
      <c r="H41">
        <f>IF(E41="","",ROUND(E41*Resumen!$B$3,2))</f>
      </c>
      <c r="I41">
        <v>4.8</v>
      </c>
      <c r="J41">
        <v>308</v>
      </c>
      <c r="K41">
        <v>10000</v>
      </c>
      <c r="L41" t="str">
        <v>10K+ sold</v>
      </c>
      <c r="M41" t="str">
        <v/>
      </c>
      <c r="N41" t="str">
        <v>https://img.kwcdn.com/product/fancy/52d69d00-5a14-49aa-bca1-c7c8213e1421.jpg</v>
      </c>
      <c r="O41" t="str">
        <v>https://www.temu.com/goods.html?goods_id=601101379797219</v>
      </c>
    </row>
    <row r="42">
      <c r="A42" t="str">
        <v>Computación</v>
      </c>
      <c r="B42" t="str">
        <v>keyboard</v>
      </c>
      <c r="C42" t="str">
        <v>601102106062214</v>
      </c>
      <c r="D42" t="str">
        <v>* AK820 75% Wired Gasket Mechanical Gaming Keyboard Featuring a Volume Knob - South Facing LED - PBT Keycaps - RGB Hot Swap Keyboard</v>
      </c>
      <c r="E42">
        <v>35.46</v>
      </c>
      <c r="F42">
        <v>163.64</v>
      </c>
      <c r="G42">
        <v>78.33</v>
      </c>
      <c r="H42">
        <f>IF(E42="","",ROUND(E42*Resumen!$B$3,2))</f>
      </c>
      <c r="I42">
        <v>4.7</v>
      </c>
      <c r="J42">
        <v>36</v>
      </c>
      <c r="K42">
        <v>9100</v>
      </c>
      <c r="L42" t="str">
        <v>9.1K+ sold</v>
      </c>
      <c r="M42" t="str">
        <v/>
      </c>
      <c r="N42" t="str">
        <v>https://img.kwcdn.com/product/fancy/71029713-cd5b-418b-8866-63bfdee5a49f.jpg</v>
      </c>
      <c r="O42" t="str">
        <v>https://www.temu.com/goods.html?goods_id=601102106062214</v>
      </c>
    </row>
    <row r="43">
      <c r="A43" t="str">
        <v>Computación</v>
      </c>
      <c r="B43" t="str">
        <v>keyboard</v>
      </c>
      <c r="C43" t="str">
        <v>601099979479002</v>
      </c>
      <c r="D43" t="str">
        <v>* * X68 HE 60% Wired RGB Gaming Keyboard - *, Adjustable Points, Magnetic Switches (8K Hz * Rate), PBT Keycaps, * for Win/*, USB Cable Included</v>
      </c>
      <c r="E43">
        <v>115.61</v>
      </c>
      <c r="F43">
        <v>294.61</v>
      </c>
      <c r="G43">
        <v>60.76</v>
      </c>
      <c r="H43">
        <f>IF(E43="","",ROUND(E43*Resumen!$B$3,2))</f>
      </c>
      <c r="I43">
        <v>5</v>
      </c>
      <c r="J43">
        <v>9</v>
      </c>
      <c r="K43">
        <v>8500</v>
      </c>
      <c r="L43" t="str">
        <v>8.5K+ sold</v>
      </c>
      <c r="M43" t="str">
        <v/>
      </c>
      <c r="N43" t="str">
        <v>https://img.kwcdn.com/product/fancy/91926a0b-0820-4df7-8f73-b8e0cbc0cbef.jpg</v>
      </c>
      <c r="O43" t="str">
        <v>https://www.temu.com/goods.html?goods_id=601099979479002</v>
      </c>
    </row>
    <row r="44">
      <c r="A44" t="str">
        <v>Computación</v>
      </c>
      <c r="B44" t="str">
        <v>usb hub</v>
      </c>
      <c r="C44" t="str">
        <v>601099688415722</v>
      </c>
      <c r="D44" t="str">
        <v>USB 3.0 Hub, 4-Port 47.24inch USB Hub, * Extension Cable with Independent * * Switch, Suitable for PC, MacBook, PS4, PS5, *, Keyboard, Laptop, Printer, Mouse, USB Flash Drive, External Hard Drive [USB Adapter, USB Expander</v>
      </c>
      <c r="E44">
        <v>3.54</v>
      </c>
      <c r="F44">
        <v>9.29</v>
      </c>
      <c r="G44">
        <v>61.89</v>
      </c>
      <c r="H44">
        <f>IF(E44="","",ROUND(E44*Resumen!$B$3,2))</f>
      </c>
      <c r="I44">
        <v>4.7</v>
      </c>
      <c r="J44">
        <v>70</v>
      </c>
      <c r="K44">
        <v>7900</v>
      </c>
      <c r="L44" t="str">
        <v>7.9K+ sold</v>
      </c>
      <c r="M44" t="str">
        <v/>
      </c>
      <c r="N44" t="str">
        <v>https://img.kwcdn.com/product/fancy/08cac6b4-17db-4a56-901a-335828d8aa4f.jpg</v>
      </c>
      <c r="O44" t="str">
        <v>https://www.temu.com/goods.html?goods_id=601099688415722</v>
      </c>
    </row>
    <row r="45">
      <c r="A45" t="str">
        <v>Computación</v>
      </c>
      <c r="B45" t="str">
        <v>keyboard</v>
      </c>
      <c r="C45" t="str">
        <v>601099855241548</v>
      </c>
      <c r="D45" t="str">
        <v>* Wireless Mechanical Keyboard, * * Switch, 75% Wireless Hot Swappable Gaming Keyboard with Five-Layer Padding And Knob, Wireless/2.4Ghz/Usb-C, RGB, for Gifts</v>
      </c>
      <c r="E45">
        <v>63.72</v>
      </c>
      <c r="F45">
        <v>298.63</v>
      </c>
      <c r="G45">
        <v>78.66</v>
      </c>
      <c r="H45">
        <f>IF(E45="","",ROUND(E45*Resumen!$B$3,2))</f>
      </c>
      <c r="I45">
        <v>4.9</v>
      </c>
      <c r="J45">
        <v>16</v>
      </c>
      <c r="K45">
        <v>7700</v>
      </c>
      <c r="L45" t="str">
        <v>7.7K+ sold</v>
      </c>
      <c r="M45" t="str">
        <v/>
      </c>
      <c r="N45" t="str">
        <v>https://img.kwcdn.com/product/fancy/326b0dbf-4628-45ab-8b84-5820f1d3471d.jpg</v>
      </c>
      <c r="O45" t="str">
        <v>https://www.temu.com/goods.html?goods_id=601099855241548</v>
      </c>
    </row>
    <row r="46">
      <c r="A46" t="str">
        <v>Computación</v>
      </c>
      <c r="B46" t="str">
        <v>usb hub</v>
      </c>
      <c r="C46" t="str">
        <v>601100084609261</v>
      </c>
      <c r="D46" t="str">
        <v>* USB 3.0 Type C * Hub Adapter, * Ultra-Thin Design with * USB-C to USB Transfer, Compatible with *, Xiaomi, and More Devices!, Data Transfer Hub | Modern Accessory | * Interface, *</v>
      </c>
      <c r="E46">
        <v>1.97</v>
      </c>
      <c r="F46">
        <v>10.99</v>
      </c>
      <c r="G46">
        <v>82.07</v>
      </c>
      <c r="H46">
        <f>IF(E46="","",ROUND(E46*Resumen!$B$3,2))</f>
      </c>
      <c r="I46">
        <v>4.8</v>
      </c>
      <c r="J46">
        <v>42</v>
      </c>
      <c r="K46">
        <v>7700</v>
      </c>
      <c r="L46" t="str">
        <v>7.7K+ sold</v>
      </c>
      <c r="M46" t="str">
        <v/>
      </c>
      <c r="N46" t="str">
        <v>https://img.kwcdn.com/product/fancy/f5ff24d8-181e-4297-975a-25d2df94dc4c.jpg</v>
      </c>
      <c r="O46" t="str">
        <v>https://www.temu.com/goods.html?goods_id=601100084609261</v>
      </c>
    </row>
    <row r="47">
      <c r="A47" t="str">
        <v>Computación</v>
      </c>
      <c r="B47" t="str">
        <v>keyboard</v>
      </c>
      <c r="C47" t="str">
        <v>601102637775860</v>
      </c>
      <c r="D47" t="str">
        <v>Wired 61 Keys RGB Keyboard - Small Keyboard for Laptop, Portable Keyboard Suitable for Gaming Keyboard &amp; Keyboard Gaming</v>
      </c>
      <c r="E47">
        <v>14.34</v>
      </c>
      <c r="F47">
        <v>81.84</v>
      </c>
      <c r="G47">
        <v>82.48</v>
      </c>
      <c r="H47">
        <f>IF(E47="","",ROUND(E47*Resumen!$B$3,2))</f>
      </c>
      <c r="I47">
        <v>4.8</v>
      </c>
      <c r="J47">
        <v>93</v>
      </c>
      <c r="K47">
        <v>7600</v>
      </c>
      <c r="L47" t="str">
        <v>7.6K+ sold</v>
      </c>
      <c r="M47" t="str">
        <v/>
      </c>
      <c r="N47" t="str">
        <v>https://img.kwcdn.com/product/fancy/c7b83ed4-64c7-48d5-90b7-503c3f7593d9.jpg</v>
      </c>
      <c r="O47" t="str">
        <v>https://www.temu.com/goods.html?goods_id=601102637775860</v>
      </c>
    </row>
    <row r="48">
      <c r="A48" t="str">
        <v>Computación</v>
      </c>
      <c r="B48" t="str">
        <v>wireless mouse</v>
      </c>
      <c r="C48" t="str">
        <v>601099759063757</v>
      </c>
      <c r="D48" t="str">
        <v>Wireless Mouse - 2.4* Portable Computer Mouse * Receiver, Less Noise Mobile Optical Mice for Notebook, PC, Laptop, Computer, * (Gradient Orange to Mint Green)</v>
      </c>
      <c r="E48">
        <v>2.67</v>
      </c>
      <c r="F48">
        <v>6.07</v>
      </c>
      <c r="G48">
        <v>56.01</v>
      </c>
      <c r="H48">
        <f>IF(E48="","",ROUND(E48*Resumen!$B$3,2))</f>
      </c>
      <c r="I48">
        <v>4.8</v>
      </c>
      <c r="J48">
        <v>1029</v>
      </c>
      <c r="K48">
        <v>7300</v>
      </c>
      <c r="L48" t="str">
        <v>7.3K+ sold</v>
      </c>
      <c r="M48" t="str">
        <v/>
      </c>
      <c r="N48" t="str">
        <v>https://img.kwcdn.com/product/fancy/2836ac58-4cb9-4eae-8ae9-11a603e7a339.jpg</v>
      </c>
      <c r="O48" t="str">
        <v>https://www.temu.com/goods.html?goods_id=601099759063757</v>
      </c>
    </row>
    <row r="49">
      <c r="A49" t="str">
        <v>Computación</v>
      </c>
      <c r="B49" t="str">
        <v>usb hub</v>
      </c>
      <c r="C49" t="str">
        <v>601103556016027</v>
      </c>
      <c r="D49" t="str">
        <v>7-In-1 Hub, * Smooth Collaboration, Suitable for Video And Audio Output of Phones/Tablets/Laptops, USB And Type-C Ports</v>
      </c>
      <c r="E49">
        <v>3.91</v>
      </c>
      <c r="F49">
        <v>8.46</v>
      </c>
      <c r="G49">
        <v>53.78</v>
      </c>
      <c r="H49">
        <f>IF(E49="","",ROUND(E49*Resumen!$B$3,2))</f>
      </c>
      <c r="I49">
        <v>4.7</v>
      </c>
      <c r="J49">
        <v>173</v>
      </c>
      <c r="K49">
        <v>7300</v>
      </c>
      <c r="L49" t="str">
        <v>7.3K+ sold</v>
      </c>
      <c r="M49" t="str">
        <v/>
      </c>
      <c r="N49" t="str">
        <v>https://img.kwcdn.com/product/fancy/a6f38747-00ce-4b25-9894-6b875840a53a.jpg</v>
      </c>
      <c r="O49" t="str">
        <v>https://www.temu.com/goods.html?goods_id=601103556016027</v>
      </c>
    </row>
    <row r="50">
      <c r="A50" t="str">
        <v>Computación</v>
      </c>
      <c r="B50" t="str">
        <v>usb hub</v>
      </c>
      <c r="C50" t="str">
        <v>601099515417315</v>
      </c>
      <c r="D50" t="str">
        <v>* Hub USB C Multiport Adapter 7 in 1 Type C Hub Adapter USB C to Usb Ultra * Ports Usb 3.0/ 2.0, USB-C * Ports, for Mobile Phone Smartphone Laptop PC Windows And Other Devices</v>
      </c>
      <c r="E50">
        <v>4.32</v>
      </c>
      <c r="F50">
        <v>38.08</v>
      </c>
      <c r="G50">
        <v>88.66</v>
      </c>
      <c r="H50">
        <f>IF(E50="","",ROUND(E50*Resumen!$B$3,2))</f>
      </c>
      <c r="I50">
        <v>4.9</v>
      </c>
      <c r="J50">
        <v>36</v>
      </c>
      <c r="K50">
        <v>6900</v>
      </c>
      <c r="L50" t="str">
        <v>6.9K+ sold</v>
      </c>
      <c r="M50" t="str">
        <v/>
      </c>
      <c r="N50" t="str">
        <v>https://img.kwcdn.com/product/Fancyalgo/VirtualModelMatting/c1425520ced9f95093dd8ebb6eb19494.jpg</v>
      </c>
      <c r="O50" t="str">
        <v>https://www.temu.com/goods.html?goods_id=601099515417315</v>
      </c>
    </row>
    <row r="51">
      <c r="A51" t="str">
        <v>Computación</v>
      </c>
      <c r="B51" t="str">
        <v>keyboard</v>
      </c>
      <c r="C51" t="str">
        <v>601099515397840</v>
      </c>
      <c r="D51" t="str">
        <v>61-Key Girls' Keyboard with RGB * - *, * for Windows, PC, *, PS4, * One - No Battery Needed, USB Connection, Gaming Keyboard|Ergonomic Keyboard|Backlit Keyboard</v>
      </c>
      <c r="E51">
        <v>14.22</v>
      </c>
      <c r="F51">
        <v>67.93</v>
      </c>
      <c r="G51">
        <v>79.07</v>
      </c>
      <c r="H51">
        <f>IF(E51="","",ROUND(E51*Resumen!$B$3,2))</f>
      </c>
      <c r="I51">
        <v>4.5</v>
      </c>
      <c r="J51">
        <v>206</v>
      </c>
      <c r="K51">
        <v>6600</v>
      </c>
      <c r="L51" t="str">
        <v>6.6K+ sold</v>
      </c>
      <c r="M51" t="str">
        <v/>
      </c>
      <c r="N51" t="str">
        <v>https://img.kwcdn.com/product/Fancyalgo/VirtualModelMatting/eeb91b2e8b8475375535ea14bfcf7d1c.jpg</v>
      </c>
      <c r="O51" t="str">
        <v>https://www.temu.com/goods.html?goods_id=601099515397840</v>
      </c>
    </row>
    <row r="52">
      <c r="A52" t="str">
        <v>Computación</v>
      </c>
      <c r="B52" t="str">
        <v>usb hub</v>
      </c>
      <c r="C52" t="str">
        <v>605897342433104</v>
      </c>
      <c r="D52" t="str">
        <v>66W Multi Port Fast Charging Station, 12 Ports 6USB+6Type-C Desktop * Strip Charger, Multiple Devices * Charging Hub for Phone Tablet Game Console</v>
      </c>
      <c r="E52">
        <v>7.22</v>
      </c>
      <c r="F52">
        <v>11.5</v>
      </c>
      <c r="G52">
        <v>37.22</v>
      </c>
      <c r="H52">
        <f>IF(E52="","",ROUND(E52*Resumen!$B$3,2))</f>
      </c>
      <c r="I52">
        <v>4.8</v>
      </c>
      <c r="J52">
        <v>52</v>
      </c>
      <c r="K52">
        <v>6600</v>
      </c>
      <c r="L52" t="str">
        <v>6.6K+ sold</v>
      </c>
      <c r="M52" t="str">
        <v/>
      </c>
      <c r="N52" t="str">
        <v>https://img.kwcdn.com/product/open/f92b086ad7944f8cb0550e79d9070604-goods.jpeg</v>
      </c>
      <c r="O52" t="str">
        <v>https://www.temu.com/goods.html?goods_id=605897342433104</v>
      </c>
    </row>
    <row r="53">
      <c r="A53" t="str">
        <v>Computación</v>
      </c>
      <c r="B53" t="str">
        <v>keyboard</v>
      </c>
      <c r="C53" t="str">
        <v>601100670764649</v>
      </c>
      <c r="D53" t="str">
        <v>Black Illuminated Gaming Keyboard, USB Wired Keyboard for Business, Office And Gaming, No Battery Required</v>
      </c>
      <c r="E53">
        <v>12.32</v>
      </c>
      <c r="F53">
        <v>24.99</v>
      </c>
      <c r="G53">
        <v>50.7</v>
      </c>
      <c r="H53">
        <f>IF(E53="","",ROUND(E53*Resumen!$B$3,2))</f>
      </c>
      <c r="I53">
        <v>4.8</v>
      </c>
      <c r="J53">
        <v>51</v>
      </c>
      <c r="K53">
        <v>6400</v>
      </c>
      <c r="L53" t="str">
        <v>6.4K+ sold</v>
      </c>
      <c r="M53" t="str">
        <v/>
      </c>
      <c r="N53" t="str">
        <v>https://img.kwcdn.com/product/fancy/826be5c0-540d-46f4-93fd-afbb163b8c09.jpg</v>
      </c>
      <c r="O53" t="str">
        <v>https://www.temu.com/goods.html?goods_id=601100670764649</v>
      </c>
    </row>
    <row r="54">
      <c r="A54" t="str">
        <v>Computación</v>
      </c>
      <c r="B54" t="str">
        <v>keyboard</v>
      </c>
      <c r="C54" t="str">
        <v>606783967971227</v>
      </c>
      <c r="D54" t="str">
        <v>* High Aesthetic * Keyboard, * Panel 104 Keys Wired with Cozy Keycaps, Mute Button, and White Backlit USB Wired Keyboards for Games and Office, for Windows Laptop PC Pink</v>
      </c>
      <c r="E54">
        <v>16.17</v>
      </c>
      <c r="F54">
        <v>77.57</v>
      </c>
      <c r="G54">
        <v>79.15</v>
      </c>
      <c r="H54">
        <f>IF(E54="","",ROUND(E54*Resumen!$B$3,2))</f>
      </c>
      <c r="I54">
        <v>4.8</v>
      </c>
      <c r="J54">
        <v>91</v>
      </c>
      <c r="K54">
        <v>6400</v>
      </c>
      <c r="L54" t="str">
        <v>6.4K+ sold</v>
      </c>
      <c r="M54" t="str">
        <v/>
      </c>
      <c r="N54" t="str">
        <v>https://img.kwcdn.com/product/fancy/e3f8c540-76a4-434b-85e2-bd543aba5856.jpg</v>
      </c>
      <c r="O54" t="str">
        <v>https://www.temu.com/goods.html?goods_id=606783967971227</v>
      </c>
    </row>
    <row r="55">
      <c r="A55" t="str">
        <v>Computación</v>
      </c>
      <c r="B55" t="str">
        <v>keyboard</v>
      </c>
      <c r="C55" t="str">
        <v>601099772871562</v>
      </c>
      <c r="D55" t="str">
        <v>* Computer Keyboard Wired USB Gaming Office Luminous Desktop Laptop Universal Equipment</v>
      </c>
      <c r="E55">
        <v>13.57</v>
      </c>
      <c r="F55">
        <v>37.39</v>
      </c>
      <c r="G55">
        <v>63.71</v>
      </c>
      <c r="H55">
        <f>IF(E55="","",ROUND(E55*Resumen!$B$3,2))</f>
      </c>
      <c r="I55">
        <v>4.8</v>
      </c>
      <c r="J55">
        <v>63</v>
      </c>
      <c r="K55">
        <v>6200</v>
      </c>
      <c r="L55" t="str">
        <v>6.2K+ sold</v>
      </c>
      <c r="M55" t="str">
        <v/>
      </c>
      <c r="N55" t="str">
        <v>https://img.kwcdn.com/product/fancy/edc77749-4fdb-4cb5-afc0-efeecc3f0e6a.jpg</v>
      </c>
      <c r="O55" t="str">
        <v>https://www.temu.com/goods.html?goods_id=601099772871562</v>
      </c>
    </row>
    <row r="56">
      <c r="A56" t="str">
        <v>Computación</v>
      </c>
      <c r="B56" t="str">
        <v>keyboard</v>
      </c>
      <c r="C56" t="str">
        <v>601105624347370</v>
      </c>
      <c r="D56" t="str">
        <v>XNI Wired Keyboard, 61 Keys - *, Suitable for Office And Gaming *, * And * Design, Gaming Keyboard, Fashionable Keyboard, High-Quality Keys</v>
      </c>
      <c r="E56">
        <v>12.31</v>
      </c>
      <c r="F56">
        <v>66.92</v>
      </c>
      <c r="G56">
        <v>81.6</v>
      </c>
      <c r="H56">
        <f>IF(E56="","",ROUND(E56*Resumen!$B$3,2))</f>
      </c>
      <c r="I56">
        <v>4.9</v>
      </c>
      <c r="J56">
        <v>19</v>
      </c>
      <c r="K56">
        <v>6200</v>
      </c>
      <c r="L56" t="str">
        <v>6.2K+ sold</v>
      </c>
      <c r="M56" t="str">
        <v/>
      </c>
      <c r="N56" t="str">
        <v>https://img.kwcdn.com/product/fancy/55c8ba45-bebe-4d47-bda1-f0511898bbcd.jpg</v>
      </c>
      <c r="O56" t="str">
        <v>https://www.temu.com/goods.html?goods_id=601105624347370</v>
      </c>
    </row>
    <row r="57">
      <c r="A57" t="str">
        <v>Computación</v>
      </c>
      <c r="B57" t="str">
        <v>usb hub</v>
      </c>
      <c r="C57" t="str">
        <v>606266290228224</v>
      </c>
      <c r="D57" t="str">
        <v>* USB Hub with External Type-C Power Supply, 4× USB 2.0 Expansion Adapter, * USB Splitter for Laptop, Desktop &amp; Workstation, Reliable Data Transfer for *, Home * &amp; Remote Work, * Tech Gift for Christmas</v>
      </c>
      <c r="E57">
        <v>5.62</v>
      </c>
      <c r="F57">
        <v>12.3</v>
      </c>
      <c r="G57">
        <v>54.31</v>
      </c>
      <c r="H57">
        <f>IF(E57="","",ROUND(E57*Resumen!$B$3,2))</f>
      </c>
      <c r="I57">
        <v>5</v>
      </c>
      <c r="J57">
        <v>40</v>
      </c>
      <c r="K57">
        <v>6200</v>
      </c>
      <c r="L57" t="str">
        <v>6.2K+ sold</v>
      </c>
      <c r="M57" t="str">
        <v/>
      </c>
      <c r="N57" t="str">
        <v>https://img.kwcdn.com/product/fancy/5a7572d6-1d36-439e-ad38-62b13b260b78.jpg</v>
      </c>
      <c r="O57" t="str">
        <v>https://www.temu.com/goods.html?goods_id=606266290228224</v>
      </c>
    </row>
    <row r="58">
      <c r="A58" t="str">
        <v>Computación</v>
      </c>
      <c r="B58" t="str">
        <v>usb hub</v>
      </c>
      <c r="C58" t="str">
        <v>601099581317304</v>
      </c>
      <c r="D58" t="str">
        <v>* 4-Port USB 2.0 Hub for * */S, Portable * USB Hub Splitter Expansion Adapter Accessory Compatible with for * */* - Black</v>
      </c>
      <c r="E58">
        <v>11.39</v>
      </c>
      <c r="F58">
        <v>46.12</v>
      </c>
      <c r="G58">
        <v>75.3</v>
      </c>
      <c r="H58">
        <f>IF(E58="","",ROUND(E58*Resumen!$B$3,2))</f>
      </c>
      <c r="I58">
        <v>4.8</v>
      </c>
      <c r="J58">
        <v>269</v>
      </c>
      <c r="K58">
        <v>6100</v>
      </c>
      <c r="L58" t="str">
        <v>6.1K+ sold</v>
      </c>
      <c r="M58" t="str">
        <v/>
      </c>
      <c r="N58" t="str">
        <v>https://img.kwcdn.com/product/fancy/34e032c2-7996-4019-9a05-f2cd39b5e46f.jpg</v>
      </c>
      <c r="O58" t="str">
        <v>https://www.temu.com/goods.html?goods_id=601099581317304</v>
      </c>
    </row>
    <row r="59">
      <c r="A59" t="str">
        <v>Computación</v>
      </c>
      <c r="B59" t="str">
        <v>usb hub</v>
      </c>
      <c r="C59" t="str">
        <v>601099593344190</v>
      </c>
      <c r="D59" t="str">
        <v>* 4K * Type-C to HDTV Compatible USB 3.0 Adapter 10-In-1 Type-C Hub Docking Station PD 87W USB C Splitter for * Air</v>
      </c>
      <c r="E59">
        <v>10.49</v>
      </c>
      <c r="F59">
        <v>55.53</v>
      </c>
      <c r="G59">
        <v>81.11</v>
      </c>
      <c r="H59">
        <f>IF(E59="","",ROUND(E59*Resumen!$B$3,2))</f>
      </c>
      <c r="I59">
        <v>4.7</v>
      </c>
      <c r="J59">
        <v>600</v>
      </c>
      <c r="K59">
        <v>5500</v>
      </c>
      <c r="L59" t="str">
        <v>5.5K+ sold</v>
      </c>
      <c r="M59" t="str">
        <v/>
      </c>
      <c r="N59" t="str">
        <v>https://img.kwcdn.com/product/fancy/c780e9eb-72ed-4560-abd3-061c5944955c.jpg</v>
      </c>
      <c r="O59" t="str">
        <v>https://www.temu.com/goods.html?goods_id=601099593344190</v>
      </c>
    </row>
    <row r="60">
      <c r="A60" t="str">
        <v>Computación</v>
      </c>
      <c r="B60" t="str">
        <v>keyboard</v>
      </c>
      <c r="C60" t="str">
        <v>601099773371049</v>
      </c>
      <c r="D60" t="str">
        <v>* Wired USB Backlit Gaming Keyboard for PC, Laptop &amp; Office Universal Thin Film Keyboard</v>
      </c>
      <c r="E60">
        <v>13.23</v>
      </c>
      <c r="F60">
        <v>37.39</v>
      </c>
      <c r="G60">
        <v>64.62</v>
      </c>
      <c r="H60">
        <f>IF(E60="","",ROUND(E60*Resumen!$B$3,2))</f>
      </c>
      <c r="I60">
        <v>4.6</v>
      </c>
      <c r="J60">
        <v>122</v>
      </c>
      <c r="K60">
        <v>5300</v>
      </c>
      <c r="L60" t="str">
        <v>5.3K+ sold</v>
      </c>
      <c r="M60" t="str">
        <v/>
      </c>
      <c r="N60" t="str">
        <v>https://img.kwcdn.com/product/fancy/070c560a-55da-470c-95c3-c4df76b917fc.jpg</v>
      </c>
      <c r="O60" t="str">
        <v>https://www.temu.com/goods.html?goods_id=601099773371049</v>
      </c>
    </row>
    <row r="61">
      <c r="A61" t="str">
        <v>Computación</v>
      </c>
      <c r="B61" t="str">
        <v>usb hub</v>
      </c>
      <c r="C61" t="str">
        <v>606459597319331</v>
      </c>
      <c r="D61" t="str">
        <v>2026 New *-XU*-* Port USB-A Interface, Suitable for */Multiple Devices, * Power Hub, *, * Charging, Power Adapter, Must-Have for Tech Enthusiasts, * Organizer, Space-Saving Charger</v>
      </c>
      <c r="E61">
        <v>3.3</v>
      </c>
      <c r="F61">
        <v>7.15</v>
      </c>
      <c r="G61">
        <v>53.85</v>
      </c>
      <c r="H61">
        <f>IF(E61="","",ROUND(E61*Resumen!$B$3,2))</f>
      </c>
      <c r="I61">
        <v>4.8</v>
      </c>
      <c r="J61">
        <v>170</v>
      </c>
      <c r="K61">
        <v>5200</v>
      </c>
      <c r="L61" t="str">
        <v>5.2K+ sold</v>
      </c>
      <c r="M61" t="str">
        <v/>
      </c>
      <c r="N61" t="str">
        <v>https://img.kwcdn.com/product/fancy/1f2dd66c-31bd-40f5-b10d-a6d910148302.jpg</v>
      </c>
      <c r="O61" t="str">
        <v>https://www.temu.com/goods.html?goods_id=606459597319331</v>
      </c>
    </row>
    <row r="62">
      <c r="A62" t="str">
        <v>Computación</v>
      </c>
      <c r="B62" t="str">
        <v>keyboard</v>
      </c>
      <c r="C62" t="str">
        <v>601099512186163</v>
      </c>
      <c r="D62" t="str">
        <v>* Wired Office Membrane Keyboard</v>
      </c>
      <c r="E62">
        <v>20.12</v>
      </c>
      <c r="F62">
        <v>141.13</v>
      </c>
      <c r="G62">
        <v>85.74</v>
      </c>
      <c r="H62">
        <f>IF(E62="","",ROUND(E62*Resumen!$B$3,2))</f>
      </c>
      <c r="I62">
        <v>4.8</v>
      </c>
      <c r="J62">
        <v>156</v>
      </c>
      <c r="K62">
        <v>4900</v>
      </c>
      <c r="L62" t="str">
        <v>4.9K+ sold</v>
      </c>
      <c r="M62" t="str">
        <v/>
      </c>
      <c r="N62" t="str">
        <v>https://img.kwcdn.com/product/fancy/dcfc8f13-d56b-42c4-985a-cec1bc40cfbb.jpg</v>
      </c>
      <c r="O62" t="str">
        <v>https://www.temu.com/goods.html?goods_id=601099512186163</v>
      </c>
    </row>
    <row r="63">
      <c r="A63" t="str">
        <v>Computación</v>
      </c>
      <c r="B63" t="str">
        <v>wireless mouse</v>
      </c>
      <c r="C63" t="str">
        <v>601101358612843</v>
      </c>
      <c r="D63" t="str">
        <v>* 1*.4G Wireless Mouse Supports * Mode And Low Power Reminder Function Standby * Function Plug And Play for Notebook Computer Desktop * * Mouse Ergonomic Mouse (Without Battery)</v>
      </c>
      <c r="E63">
        <v>9.5</v>
      </c>
      <c r="F63">
        <v>18.52</v>
      </c>
      <c r="G63">
        <v>48.7</v>
      </c>
      <c r="H63">
        <f>IF(E63="","",ROUND(E63*Resumen!$B$3,2))</f>
      </c>
      <c r="I63">
        <v>4.7</v>
      </c>
      <c r="J63">
        <v>131</v>
      </c>
      <c r="K63">
        <v>4700</v>
      </c>
      <c r="L63" t="str">
        <v>4.7K+ sold</v>
      </c>
      <c r="M63" t="str">
        <v/>
      </c>
      <c r="N63" t="str">
        <v>https://img.kwcdn.com/product/fancy/e2e91cf6-c0e1-4712-895e-a16b665e1dc0.jpg</v>
      </c>
      <c r="O63" t="str">
        <v>https://www.temu.com/goods.html?goods_id=601101358612843</v>
      </c>
    </row>
    <row r="64">
      <c r="A64" t="str">
        <v>Computación</v>
      </c>
      <c r="B64" t="str">
        <v>usb hub</v>
      </c>
      <c r="C64" t="str">
        <v>606686794335066</v>
      </c>
      <c r="D64" t="str">
        <v>USB 3.0 Hub 8-Port Portable Round Multiport Adapter with Built-In Cable Storage Case, 6 USB-* USB-C Ports, 5* * Data Transfer, Type-C PD Power Input for Laptop PC, Compact Travel USB Splitter</v>
      </c>
      <c r="E64">
        <v>7.63</v>
      </c>
      <c r="F64">
        <v>11.48</v>
      </c>
      <c r="G64">
        <v>33.54</v>
      </c>
      <c r="H64">
        <f>IF(E64="","",ROUND(E64*Resumen!$B$3,2))</f>
      </c>
      <c r="I64">
        <v>4.3</v>
      </c>
      <c r="J64">
        <v>12</v>
      </c>
      <c r="K64">
        <v>4600</v>
      </c>
      <c r="L64" t="str">
        <v>4.6K+ sold</v>
      </c>
      <c r="M64" t="str">
        <v/>
      </c>
      <c r="N64" t="str">
        <v>https://img.kwcdn.com/product/fancy/9d0f24e6-76a9-4b93-acca-658027ce2150.jpg</v>
      </c>
      <c r="O64" t="str">
        <v>https://www.temu.com/goods.html?goods_id=606686794335066</v>
      </c>
    </row>
    <row r="65">
      <c r="A65" t="str">
        <v>Computación</v>
      </c>
      <c r="B65" t="str">
        <v>usb hub</v>
      </c>
      <c r="C65" t="str">
        <v>601099550043020</v>
      </c>
      <c r="D65" t="str">
        <v>4-Port USB 3.0 Hub Compatible for PC/Laptop/Smartphone - * Charging Adapter with *, Portable USB- External Hub, Compatible for //*, * &amp; Data Transfer</v>
      </c>
      <c r="E65">
        <v>2.27</v>
      </c>
      <c r="F65">
        <v>5.21</v>
      </c>
      <c r="G65">
        <v>56.43</v>
      </c>
      <c r="H65">
        <f>IF(E65="","",ROUND(E65*Resumen!$B$3,2))</f>
      </c>
      <c r="I65">
        <v>4.7</v>
      </c>
      <c r="J65">
        <v>70</v>
      </c>
      <c r="K65">
        <v>4500</v>
      </c>
      <c r="L65" t="str">
        <v>4.5K+ sold</v>
      </c>
      <c r="M65" t="str">
        <v/>
      </c>
      <c r="N65" t="str">
        <v>https://img.kwcdn.com/product/open/2024-03-05/1709644232915-a4c5dc1277dd4822beb1bc3378f427a6-goods.jpeg</v>
      </c>
      <c r="O65" t="str">
        <v>https://www.temu.com/goods.html?goods_id=601099550043020</v>
      </c>
    </row>
    <row r="66">
      <c r="A66" t="str">
        <v>Computación</v>
      </c>
      <c r="B66" t="str">
        <v>usb hub</v>
      </c>
      <c r="C66" t="str">
        <v>601101607559229</v>
      </c>
      <c r="D66" t="str">
        <v>2pcs/1pc * 4/7 Port USB Splitter Hub, USB 2.0 Hub with Power Adapter, * * Extender Dock, * Inch Cable</v>
      </c>
      <c r="E66">
        <v>2.75</v>
      </c>
      <c r="F66">
        <v>5.7</v>
      </c>
      <c r="G66">
        <v>51.75</v>
      </c>
      <c r="H66">
        <f>IF(E66="","",ROUND(E66*Resumen!$B$3,2))</f>
      </c>
      <c r="I66">
        <v>4.6</v>
      </c>
      <c r="J66">
        <v>39</v>
      </c>
      <c r="K66">
        <v>4400</v>
      </c>
      <c r="L66" t="str">
        <v>4.4K+ sold</v>
      </c>
      <c r="M66" t="str">
        <v/>
      </c>
      <c r="N66" t="str">
        <v>https://img.kwcdn.com/product/open/a2634c52ce8c4cf4a113b1605ce9f136-goods.jpeg</v>
      </c>
      <c r="O66" t="str">
        <v>https://www.temu.com/goods.html?goods_id=601101607559229</v>
      </c>
    </row>
    <row r="67">
      <c r="A67" t="str">
        <v>Computación</v>
      </c>
      <c r="B67" t="str">
        <v>keyboard</v>
      </c>
      <c r="C67" t="str">
        <v>602717774803600</v>
      </c>
      <c r="D67" t="str">
        <v>Computer Desktop Gaming Keyboard and Mouse Set Wired USB Keyboard and Mouse Combo with Backlight for PC</v>
      </c>
      <c r="E67">
        <v>9.37</v>
      </c>
      <c r="F67">
        <v>22.9</v>
      </c>
      <c r="G67">
        <v>59.08</v>
      </c>
      <c r="H67">
        <f>IF(E67="","",ROUND(E67*Resumen!$B$3,2))</f>
      </c>
      <c r="I67">
        <v>4.6</v>
      </c>
      <c r="J67">
        <v>712</v>
      </c>
      <c r="K67">
        <v>4400</v>
      </c>
      <c r="L67" t="str">
        <v>4.4K+ sold</v>
      </c>
      <c r="M67" t="str">
        <v/>
      </c>
      <c r="N67" t="str">
        <v>https://img.kwcdn.com/local-goods-image/20195057b88/a8984f1b-c600-4ef8-9abf-add9e6676c0c_1500x1500.jpeg.format.jpg</v>
      </c>
      <c r="O67" t="str">
        <v>https://www.temu.com/goods.html?goods_id=602717774803600</v>
      </c>
    </row>
    <row r="68">
      <c r="A68" t="str">
        <v>Computación</v>
      </c>
      <c r="B68" t="str">
        <v>usb hub</v>
      </c>
      <c r="C68" t="str">
        <v>606617873568927</v>
      </c>
      <c r="D68" t="str">
        <v>1pc MeiGlobal 8-Port Clip USB Charging Hub, 6 USB-A + 2 PD Type-C Fast Ports. One-hand Table Clamp, USB Plug-and-play, Smart Current Distribution &amp; */overvoltage Protection. Indoor, Home, Office &amp; Camping Use for Phones, Tablets, Earbuds</v>
      </c>
      <c r="E68">
        <v>7.22</v>
      </c>
      <c r="F68">
        <v>23.97</v>
      </c>
      <c r="G68">
        <v>69.88</v>
      </c>
      <c r="H68">
        <f>IF(E68="","",ROUND(E68*Resumen!$B$3,2))</f>
      </c>
      <c r="I68">
        <v>4.9</v>
      </c>
      <c r="J68">
        <v>148</v>
      </c>
      <c r="K68">
        <v>4400</v>
      </c>
      <c r="L68" t="str">
        <v>4.4K+ sold</v>
      </c>
      <c r="M68" t="str">
        <v/>
      </c>
      <c r="N68" t="str">
        <v>https://img.kwcdn.com/product/open/5b8c379820ab42c3b651876857396345-goods.jpeg</v>
      </c>
      <c r="O68" t="str">
        <v>https://www.temu.com/goods.html?goods_id=606617873568927</v>
      </c>
    </row>
    <row r="69">
      <c r="A69" t="str">
        <v>Computación</v>
      </c>
      <c r="B69" t="str">
        <v>keyboard</v>
      </c>
      <c r="C69" t="str">
        <v>601101942241041</v>
      </c>
      <c r="D69" t="str">
        <v>* AK820 Full Key Hot-Swappable 75% Layout Mechanical Keyboard Single-* Volume Knob Configuration Supports * Operation</v>
      </c>
      <c r="E69">
        <v>35.54</v>
      </c>
      <c r="F69">
        <v>163.64</v>
      </c>
      <c r="G69">
        <v>78.28</v>
      </c>
      <c r="H69">
        <f>IF(E69="","",ROUND(E69*Resumen!$B$3,2))</f>
      </c>
      <c r="I69">
        <v>4.9</v>
      </c>
      <c r="J69">
        <v>14</v>
      </c>
      <c r="K69">
        <v>4000</v>
      </c>
      <c r="L69" t="str">
        <v>4K+ sold</v>
      </c>
      <c r="M69" t="str">
        <v/>
      </c>
      <c r="N69" t="str">
        <v>https://img.kwcdn.com/product/fancy/3bc9286b-59e6-4eb5-8599-ca0e69c89f0a.jpg</v>
      </c>
      <c r="O69" t="str">
        <v>https://www.temu.com/goods.html?goods_id=601101942241041</v>
      </c>
    </row>
    <row r="70">
      <c r="A70" t="str">
        <v>Computación</v>
      </c>
      <c r="B70" t="str">
        <v>wireless mouse</v>
      </c>
      <c r="C70" t="str">
        <v>601102075530794</v>
      </c>
      <c r="D70" t="str">
        <v>RGB Wireless Gaming Mouse - * Rechargeable BT5.0 + 2.4G * Mouse, Silent 6-Button Full-Size * for Extended Work &amp; Gaming, Computer &amp; Gaming Accessories, Cool RGB Desk Setup, Back to School Gift for Back to School</v>
      </c>
      <c r="E70">
        <v>10.17</v>
      </c>
      <c r="F70">
        <v>52.7</v>
      </c>
      <c r="G70">
        <v>80.7</v>
      </c>
      <c r="H70">
        <f>IF(E70="","",ROUND(E70*Resumen!$B$3,2))</f>
      </c>
      <c r="I70">
        <v>4.7</v>
      </c>
      <c r="J70">
        <v>612</v>
      </c>
      <c r="K70">
        <v>3700</v>
      </c>
      <c r="L70" t="str">
        <v>3.7K+ sold</v>
      </c>
      <c r="M70" t="str">
        <v/>
      </c>
      <c r="N70" t="str">
        <v>https://img.kwcdn.com/product/fancy/fe87d6f6-21c2-4808-9297-e846d414caad.jpg</v>
      </c>
      <c r="O70" t="str">
        <v>https://www.temu.com/goods.html?goods_id=601102075530794</v>
      </c>
    </row>
    <row r="71">
      <c r="A71" t="str">
        <v>Computación</v>
      </c>
      <c r="B71" t="str">
        <v>usb hub</v>
      </c>
      <c r="C71" t="str">
        <v>601099660759735</v>
      </c>
      <c r="D71" t="str">
        <v>* 7-Port USB 3.0 Hub, 4ft Cable - Compatible with Laptops, PCs, MacBooks, * &amp; More - *, Overcurrent Protection</v>
      </c>
      <c r="E71">
        <v>6.63</v>
      </c>
      <c r="F71">
        <v>43.46</v>
      </c>
      <c r="G71">
        <v>84.74</v>
      </c>
      <c r="H71">
        <f>IF(E71="","",ROUND(E71*Resumen!$B$3,2))</f>
      </c>
      <c r="I71">
        <v>4.7</v>
      </c>
      <c r="J71">
        <v>127</v>
      </c>
      <c r="K71">
        <v>3500</v>
      </c>
      <c r="L71" t="str">
        <v>3.5K+ sold</v>
      </c>
      <c r="M71" t="str">
        <v/>
      </c>
      <c r="N71" t="str">
        <v>https://img.kwcdn.com/product/fancy/ff12b014-dea3-450e-84e9-e79dc9328c6b.jpg</v>
      </c>
      <c r="O71" t="str">
        <v>https://www.temu.com/goods.html?goods_id=601099660759735</v>
      </c>
    </row>
    <row r="72">
      <c r="A72" t="str">
        <v>Computación</v>
      </c>
      <c r="B72" t="str">
        <v>keyboard</v>
      </c>
      <c r="C72" t="str">
        <v>601100926444214</v>
      </c>
      <c r="D72" t="str">
        <v>* Wireless Silent Keyboard And Mouse Combo with * Indicator, Cute Colorful * Design, Battery Operated (AAA), 2.4G Stable Connection, Ergonomic, Compact, for Office Work And Gaming */Laptop/Recording Setup</v>
      </c>
      <c r="E72">
        <v>48.76</v>
      </c>
      <c r="F72">
        <v>245.35</v>
      </c>
      <c r="G72">
        <v>80.13</v>
      </c>
      <c r="H72">
        <f>IF(E72="","",ROUND(E72*Resumen!$B$3,2))</f>
      </c>
      <c r="I72">
        <v>4.8</v>
      </c>
      <c r="J72">
        <v>234</v>
      </c>
      <c r="K72">
        <v>3500</v>
      </c>
      <c r="L72" t="str">
        <v>3.5K+ sold</v>
      </c>
      <c r="M72" t="str">
        <v/>
      </c>
      <c r="N72" t="str">
        <v>https://img.kwcdn.com/product/fancy/56792e70-0ee7-4fcb-955e-ad36f49644dd.jpg</v>
      </c>
      <c r="O72" t="str">
        <v>https://www.temu.com/goods.html?goods_id=601100926444214</v>
      </c>
    </row>
    <row r="73">
      <c r="A73" t="str">
        <v>Computación</v>
      </c>
      <c r="B73" t="str">
        <v>keyboard</v>
      </c>
      <c r="C73" t="str">
        <v>601105508726399</v>
      </c>
      <c r="D73" t="str">
        <v>*, Wired Keyboard, 104 Keys, Full Size, Retro Round Keycaps, Soft And Bouncy Feel, LED Backlit, Suitable for Home Office Typing, Gaming, Desktop And Laptop Universal</v>
      </c>
      <c r="E73">
        <v>14.9</v>
      </c>
      <c r="F73">
        <v>40.38</v>
      </c>
      <c r="G73">
        <v>63.1</v>
      </c>
      <c r="H73">
        <f>IF(E73="","",ROUND(E73*Resumen!$B$3,2))</f>
      </c>
      <c r="I73">
        <v>4.7</v>
      </c>
      <c r="J73">
        <v>57</v>
      </c>
      <c r="K73">
        <v>3500</v>
      </c>
      <c r="L73" t="str">
        <v>3.5K+ sold</v>
      </c>
      <c r="M73" t="str">
        <v/>
      </c>
      <c r="N73" t="str">
        <v>https://img.kwcdn.com/product/fancy/a4596e31-e228-410e-a1ed-bd62645ae837.jpg</v>
      </c>
      <c r="O73" t="str">
        <v>https://www.temu.com/goods.html?goods_id=601105508726399</v>
      </c>
    </row>
    <row r="74">
      <c r="A74" t="str">
        <v>Computación</v>
      </c>
      <c r="B74" t="str">
        <v>wireless mouse</v>
      </c>
      <c r="C74" t="str">
        <v>601102446521042</v>
      </c>
      <c r="D74" t="str">
        <v>Ergonomic Wireless Mouse Compatible for 10 - Wireless/USB- with USB Receiver, * Right/Left-Handed Design, Silent Click Mechanism, * (No Battery Included) - Compatible for PC, Laptop, Desktop</v>
      </c>
      <c r="E74">
        <v>3.84</v>
      </c>
      <c r="F74">
        <v>38.65</v>
      </c>
      <c r="G74">
        <v>90.06</v>
      </c>
      <c r="H74">
        <f>IF(E74="","",ROUND(E74*Resumen!$B$3,2))</f>
      </c>
      <c r="I74">
        <v>4.9</v>
      </c>
      <c r="J74">
        <v>13</v>
      </c>
      <c r="K74">
        <v>3400</v>
      </c>
      <c r="L74" t="str">
        <v>3.4K+ sold</v>
      </c>
      <c r="M74" t="str">
        <v/>
      </c>
      <c r="N74" t="str">
        <v>https://img.kwcdn.com/product/fancy/7caf6fd5-85b1-46e3-9024-497f2de33542.jpg</v>
      </c>
      <c r="O74" t="str">
        <v>https://www.temu.com/goods.html?goods_id=601102446521042</v>
      </c>
    </row>
    <row r="75">
      <c r="A75" t="str">
        <v>Computación</v>
      </c>
      <c r="B75" t="str">
        <v>keyboard</v>
      </c>
      <c r="C75" t="str">
        <v>601103680251242</v>
      </c>
      <c r="D75" t="str">
        <v>* F75 2.4G Wireless/Hot-Swappable Keyboard/Wired Gaming Mechanical Keyboard with RGB, Featuring a 75% Layout And OEM Profile Spacer Structure. This Hot-Swappable Keyboard Is * for Typing And Suitable for Gaming And Office Use</v>
      </c>
      <c r="E75">
        <v>66.94</v>
      </c>
      <c r="F75">
        <v>336.43</v>
      </c>
      <c r="G75">
        <v>80.1</v>
      </c>
      <c r="H75">
        <f>IF(E75="","",ROUND(E75*Resumen!$B$3,2))</f>
      </c>
      <c r="I75">
        <v>5</v>
      </c>
      <c r="J75">
        <v>9</v>
      </c>
      <c r="K75">
        <v>3400</v>
      </c>
      <c r="L75" t="str">
        <v>3.4K+ sold</v>
      </c>
      <c r="M75" t="str">
        <v/>
      </c>
      <c r="N75" t="str">
        <v>https://img.kwcdn.com/product/fancy/b38b96f2-8635-4b02-92cf-096fca8c6428.jpg</v>
      </c>
      <c r="O75" t="str">
        <v>https://www.temu.com/goods.html?goods_id=601103680251242</v>
      </c>
    </row>
    <row r="76">
      <c r="A76" t="str">
        <v>Computación</v>
      </c>
      <c r="B76" t="str">
        <v>usb hub</v>
      </c>
      <c r="C76" t="str">
        <v>601099961442365</v>
      </c>
      <c r="D76" t="str">
        <v>12-Port USB Charger, Family-Sized Desktop USB Rapid Charger Compatible Smart USB Hub for Multiple Devices</v>
      </c>
      <c r="E76">
        <v>5.3</v>
      </c>
      <c r="F76">
        <v>13.2</v>
      </c>
      <c r="G76">
        <v>59.85</v>
      </c>
      <c r="H76">
        <f>IF(E76="","",ROUND(E76*Resumen!$B$3,2))</f>
      </c>
      <c r="I76">
        <v>4.9</v>
      </c>
      <c r="J76">
        <v>477</v>
      </c>
      <c r="K76">
        <v>3300</v>
      </c>
      <c r="L76" t="str">
        <v>3.3K+ sold</v>
      </c>
      <c r="M76" t="str">
        <v/>
      </c>
      <c r="N76" t="str">
        <v>https://img.kwcdn.com/product/fancy/dbe54c5f-5ffb-4899-9883-314e6398c782.jpg</v>
      </c>
      <c r="O76" t="str">
        <v>https://www.temu.com/goods.html?goods_id=601099961442365</v>
      </c>
    </row>
    <row r="77">
      <c r="A77" t="str">
        <v>Computación</v>
      </c>
      <c r="B77" t="str">
        <v>usb hub</v>
      </c>
      <c r="C77" t="str">
        <v>601100120298529</v>
      </c>
      <c r="D77" t="str">
        <v>3-In-1 USB-C Hub, 3-In-1 USB-C Splitter, 3-In-1 USB-A Hub, 3-In-1 USB-A Splitter, OTG Adapter And Laptop Portable Converter, for * - Fast Data Transfer, Plug And Play, Compatible with * Phones And Tablets</v>
      </c>
      <c r="E77">
        <v>3.07</v>
      </c>
      <c r="F77">
        <v>27.58</v>
      </c>
      <c r="G77">
        <v>88.87</v>
      </c>
      <c r="H77">
        <f>IF(E77="","",ROUND(E77*Resumen!$B$3,2))</f>
      </c>
      <c r="I77">
        <v>4.6</v>
      </c>
      <c r="J77">
        <v>42</v>
      </c>
      <c r="K77">
        <v>3300</v>
      </c>
      <c r="L77" t="str">
        <v>3.3K+ sold</v>
      </c>
      <c r="M77" t="str">
        <v/>
      </c>
      <c r="N77" t="str">
        <v>https://img.kwcdn.com/product/fancy/59bfe0e1-287a-4b08-8dd9-193038f1e396.jpg</v>
      </c>
      <c r="O77" t="str">
        <v>https://www.temu.com/goods.html?goods_id=601100120298529</v>
      </c>
    </row>
    <row r="78">
      <c r="A78" t="str">
        <v>Computación</v>
      </c>
      <c r="B78" t="str">
        <v>usb hub</v>
      </c>
      <c r="C78" t="str">
        <v>601103182800766</v>
      </c>
      <c r="D78" t="str">
        <v>* Wireless * Type-C Hub with USB 3.0 Expansion Dock for Flash Drive, Laptop Keyboard &amp; Mouse Hard Drive</v>
      </c>
      <c r="E78">
        <v>5.23</v>
      </c>
      <c r="H78">
        <f>IF(E78="","",ROUND(E78*Resumen!$B$3,2))</f>
      </c>
      <c r="I78">
        <v>5</v>
      </c>
      <c r="J78">
        <v>1</v>
      </c>
      <c r="K78">
        <v>3300</v>
      </c>
      <c r="L78" t="str">
        <v>3.3K+ sold</v>
      </c>
      <c r="M78" t="str">
        <v/>
      </c>
      <c r="N78" t="str">
        <v>https://img.kwcdn.com/product/fancy/1028c002-9a1d-409c-8861-9d91825819dc.jpg</v>
      </c>
      <c r="O78" t="str">
        <v>https://www.temu.com/goods.html?goods_id=601103182800766</v>
      </c>
    </row>
    <row r="79">
      <c r="A79" t="str">
        <v>Computación</v>
      </c>
      <c r="B79" t="str">
        <v>wireless mouse</v>
      </c>
      <c r="C79" t="str">
        <v>601100425637391</v>
      </c>
      <c r="D79" t="str">
        <v>Wireless Gaming Mouse, Rechargeable Computer Mouse Mice With Colorful LED Lights, Silent Click, 2.4G USB Nano Receiver, Mice For * Laptop Desktop * *, Mice</v>
      </c>
      <c r="E79">
        <v>8.11</v>
      </c>
      <c r="F79">
        <v>49.99</v>
      </c>
      <c r="G79">
        <v>83.78</v>
      </c>
      <c r="H79">
        <f>IF(E79="","",ROUND(E79*Resumen!$B$3,2))</f>
      </c>
      <c r="I79">
        <v>4.8</v>
      </c>
      <c r="J79">
        <v>546</v>
      </c>
      <c r="K79">
        <v>2900</v>
      </c>
      <c r="L79" t="str">
        <v>2.9K+ sold</v>
      </c>
      <c r="M79" t="str">
        <v/>
      </c>
      <c r="N79" t="str">
        <v>https://img.kwcdn.com/product/fancy/2a10c9d4-455a-4e57-ae58-d1512de1eefc.jpg</v>
      </c>
      <c r="O79" t="str">
        <v>https://www.temu.com/goods.html?goods_id=601100425637391</v>
      </c>
    </row>
    <row r="80">
      <c r="A80" t="str">
        <v>Computación</v>
      </c>
      <c r="B80" t="str">
        <v>usb hub</v>
      </c>
      <c r="C80" t="str">
        <v>601101374699581</v>
      </c>
      <c r="D80" t="str">
        <v>Powered USB Hub 2.0 10-Port USB Hub Extender/Divider Set with Single LED Indicator, * a 2A Stable Power Cable, Suitable for MacBook, PC, Laptop, Desktop, *, Flash Drive, Hard Drive, Console, Printer, Camera, Keyboard, Mouse, etc</v>
      </c>
      <c r="E80">
        <v>6.45</v>
      </c>
      <c r="F80">
        <v>35.95</v>
      </c>
      <c r="G80">
        <v>82.06</v>
      </c>
      <c r="H80">
        <f>IF(E80="","",ROUND(E80*Resumen!$B$3,2))</f>
      </c>
      <c r="I80">
        <v>4.8</v>
      </c>
      <c r="J80">
        <v>43</v>
      </c>
      <c r="K80">
        <v>2700</v>
      </c>
      <c r="L80" t="str">
        <v>2.7K+ sold</v>
      </c>
      <c r="M80" t="str">
        <v/>
      </c>
      <c r="N80" t="str">
        <v>https://img.kwcdn.com/product/fancy/7fe347a2-5fc9-4e2d-aa68-f8b6979ef648.jpg</v>
      </c>
      <c r="O80" t="str">
        <v>https://www.temu.com/goods.html?goods_id=601101374699581</v>
      </c>
    </row>
    <row r="81">
      <c r="A81" t="str">
        <v>Computación</v>
      </c>
      <c r="B81" t="str">
        <v>usb hub</v>
      </c>
      <c r="C81" t="str">
        <v>601103089814851</v>
      </c>
      <c r="D81" t="str">
        <v>USB Hub 3.0, 7-Port USB Extender Splitter with Individual LED * Switches, USB3.0 Hub for Laptop, PC, MacBook, * Pro, * Mini, *, Surface Pro And More USB Devices</v>
      </c>
      <c r="E81">
        <v>1.92</v>
      </c>
      <c r="F81">
        <v>2.6</v>
      </c>
      <c r="G81">
        <v>26.15</v>
      </c>
      <c r="H81">
        <f>IF(E81="","",ROUND(E81*Resumen!$B$3,2))</f>
      </c>
      <c r="I81">
        <v>4.6</v>
      </c>
      <c r="J81">
        <v>440</v>
      </c>
      <c r="K81">
        <v>2700</v>
      </c>
      <c r="L81" t="str">
        <v>2.7K+ sold</v>
      </c>
      <c r="M81" t="str">
        <v/>
      </c>
      <c r="N81" t="str">
        <v>https://img.kwcdn.com/product/fancy/f3339dc4-0171-4ca6-ab64-6600c6a99f7c.jpg</v>
      </c>
      <c r="O81" t="str">
        <v>https://www.temu.com/goods.html?goods_id=601103089814851</v>
      </c>
    </row>
    <row r="82">
      <c r="A82" t="str">
        <v>Computación</v>
      </c>
      <c r="B82" t="str">
        <v>usb hub</v>
      </c>
      <c r="C82" t="str">
        <v>601100593930698</v>
      </c>
      <c r="D82" t="str">
        <v>* Hub, 4 X USB3.2 Gen2 Type-C Ports, 10 * Ultra-High Transmission Rate. Compatible with * Book/Pad Pro/Dell/* Laptops/Phones</v>
      </c>
      <c r="E82">
        <v>16.61</v>
      </c>
      <c r="F82">
        <v>79.55</v>
      </c>
      <c r="G82">
        <v>79.12</v>
      </c>
      <c r="H82">
        <f>IF(E82="","",ROUND(E82*Resumen!$B$3,2))</f>
      </c>
      <c r="I82">
        <v>5</v>
      </c>
      <c r="J82">
        <v>5</v>
      </c>
      <c r="K82">
        <v>2600</v>
      </c>
      <c r="L82" t="str">
        <v>2.6K+ sold</v>
      </c>
      <c r="M82" t="str">
        <v/>
      </c>
      <c r="N82" t="str">
        <v>https://img.kwcdn.com/product/fancy/5c11a38e-bde6-412a-933a-988c56ba5dbb.jpg</v>
      </c>
      <c r="O82" t="str">
        <v>https://www.temu.com/goods.html?goods_id=601100593930698</v>
      </c>
    </row>
    <row r="83">
      <c r="A83" t="str">
        <v>Computación</v>
      </c>
      <c r="B83" t="str">
        <v>wireless mouse</v>
      </c>
      <c r="C83" t="str">
        <v>601099771208423</v>
      </c>
      <c r="D83" t="str">
        <v>* Wireless Mouse, * Rechargeable Silent Mouse, LED Computer Mice with *, Compatible with Ipad, Laptop, PC, *, Windows</v>
      </c>
      <c r="E83">
        <v>3.21</v>
      </c>
      <c r="F83">
        <v>24.99</v>
      </c>
      <c r="G83">
        <v>87.15</v>
      </c>
      <c r="H83">
        <f>IF(E83="","",ROUND(E83*Resumen!$B$3,2))</f>
      </c>
      <c r="I83">
        <v>4.8</v>
      </c>
      <c r="J83">
        <v>394</v>
      </c>
      <c r="K83">
        <v>2500</v>
      </c>
      <c r="L83" t="str">
        <v>2.5K+ sold</v>
      </c>
      <c r="M83" t="str">
        <v/>
      </c>
      <c r="N83" t="str">
        <v>https://img.kwcdn.com/product/fancy/689afa7d-ff55-4fc3-8974-6ef70f44f3cc.jpg</v>
      </c>
      <c r="O83" t="str">
        <v>https://www.temu.com/goods.html?goods_id=601099771208423</v>
      </c>
    </row>
    <row r="84">
      <c r="A84" t="str">
        <v>Computación</v>
      </c>
      <c r="B84" t="str">
        <v>keyboard</v>
      </c>
      <c r="C84" t="str">
        <v>601100075987531</v>
      </c>
      <c r="D84" t="str">
        <v>Hot Selling, 68 Key RGB Luminous Wired Gaming Keyboard]Mechanical Feel Keyboard for Gaming And Office, Film Switch Keycap Design, Wired Tpckey And Wire * Design.(K701)</v>
      </c>
      <c r="E84">
        <v>10.48</v>
      </c>
      <c r="F84">
        <v>62.97</v>
      </c>
      <c r="G84">
        <v>83.36</v>
      </c>
      <c r="H84">
        <f>IF(E84="","",ROUND(E84*Resumen!$B$3,2))</f>
      </c>
      <c r="I84">
        <v>4.5</v>
      </c>
      <c r="J84">
        <v>442</v>
      </c>
      <c r="K84">
        <v>2500</v>
      </c>
      <c r="L84" t="str">
        <v>2.5K+ sold</v>
      </c>
      <c r="M84" t="str">
        <v/>
      </c>
      <c r="N84" t="str">
        <v>https://img.kwcdn.com/product/fancy/08ecaea1-2af3-4f39-a0a7-54c900ae911d.jpg</v>
      </c>
      <c r="O84" t="str">
        <v>https://www.temu.com/goods.html?goods_id=601100075987531</v>
      </c>
    </row>
    <row r="85">
      <c r="A85" t="str">
        <v>Computación</v>
      </c>
      <c r="B85" t="str">
        <v>keyboard</v>
      </c>
      <c r="C85" t="str">
        <v>601101000634650</v>
      </c>
      <c r="D85" t="str">
        <v>Wired Keyboard, Suitable for Office, Business, and Home Use USB * Keyboard, Universal Keyboard for Laptops and Desktop Computers</v>
      </c>
      <c r="E85">
        <v>20.79</v>
      </c>
      <c r="F85">
        <v>40</v>
      </c>
      <c r="G85">
        <v>48.02</v>
      </c>
      <c r="H85">
        <f>IF(E85="","",ROUND(E85*Resumen!$B$3,2))</f>
      </c>
      <c r="I85">
        <v>4.6</v>
      </c>
      <c r="J85">
        <v>21</v>
      </c>
      <c r="K85">
        <v>2500</v>
      </c>
      <c r="L85" t="str">
        <v>2.5K+ sold</v>
      </c>
      <c r="M85" t="str">
        <v/>
      </c>
      <c r="N85" t="str">
        <v>https://img.kwcdn.com/product/fancy/69b5ed01-94ac-4ef6-8337-daa580ae0cbc.jpg</v>
      </c>
      <c r="O85" t="str">
        <v>https://www.temu.com/goods.html?goods_id=601101000634650</v>
      </c>
    </row>
    <row r="86">
      <c r="A86" t="str">
        <v>Computación</v>
      </c>
      <c r="B86" t="str">
        <v>wireless mouse</v>
      </c>
      <c r="C86" t="str">
        <v>601105551822966</v>
      </c>
      <c r="D86" t="str">
        <v>Compact Portable Wireless Mouse with Silent Buttons, Plug-And-Play, * (BT 2.4G) for Laptops And Tablets, Compatible with PC, *, Windows, *, *, *, Chrome OS. Ergonomic Wireless Mouse for Office *</v>
      </c>
      <c r="E86">
        <v>8.77</v>
      </c>
      <c r="F86">
        <v>39.94</v>
      </c>
      <c r="G86">
        <v>78.04</v>
      </c>
      <c r="H86">
        <f>IF(E86="","",ROUND(E86*Resumen!$B$3,2))</f>
      </c>
      <c r="I86">
        <v>4.7</v>
      </c>
      <c r="J86">
        <v>12</v>
      </c>
      <c r="K86">
        <v>2400</v>
      </c>
      <c r="L86" t="str">
        <v>2.4K+ sold</v>
      </c>
      <c r="M86" t="str">
        <v/>
      </c>
      <c r="N86" t="str">
        <v>https://img.kwcdn.com/product/fancy/2c44b8c5-92cf-4d09-8596-7bb56bf794cc.jpg</v>
      </c>
      <c r="O86" t="str">
        <v>https://www.temu.com/goods.html?goods_id=601105551822966</v>
      </c>
    </row>
    <row r="87">
      <c r="A87" t="str">
        <v>Computación</v>
      </c>
      <c r="B87" t="str">
        <v>keyboard</v>
      </c>
      <c r="C87" t="str">
        <v>601099733824801</v>
      </c>
      <c r="D87" t="str">
        <v>Sweet Wired Keyboard Pattern, New Wired * Mixed-Color Office And Home Keyboard, High * Level for Women, New Wired Keyboard</v>
      </c>
      <c r="E87">
        <v>19.25</v>
      </c>
      <c r="F87">
        <v>49.48</v>
      </c>
      <c r="G87">
        <v>61.1</v>
      </c>
      <c r="H87">
        <f>IF(E87="","",ROUND(E87*Resumen!$B$3,2))</f>
      </c>
      <c r="I87">
        <v>4.7</v>
      </c>
      <c r="J87">
        <v>25</v>
      </c>
      <c r="K87">
        <v>2400</v>
      </c>
      <c r="L87" t="str">
        <v>2.4K+ sold</v>
      </c>
      <c r="M87" t="str">
        <v/>
      </c>
      <c r="N87" t="str">
        <v>https://img.kwcdn.com/product/fancy/2f85e009-d093-4ae3-8f35-18b12c7758eb.jpg</v>
      </c>
      <c r="O87" t="str">
        <v>https://www.temu.com/goods.html?goods_id=601099733824801</v>
      </c>
    </row>
    <row r="88">
      <c r="A88" t="str">
        <v>Computación</v>
      </c>
      <c r="B88" t="str">
        <v>keyboard</v>
      </c>
      <c r="C88" t="str">
        <v>601102101268990</v>
      </c>
      <c r="D88" t="str">
        <v>Wired Mechanical Keyboard 61-Key, * Shaft, RGB Backlit, Double Shot Keycaps, Compact Gaming Keyboard with USB Cable, Suitable for PC * * And Business Travelers, Multiple Color Options</v>
      </c>
      <c r="E88">
        <v>12.68</v>
      </c>
      <c r="F88">
        <v>76.91</v>
      </c>
      <c r="G88">
        <v>83.51</v>
      </c>
      <c r="H88">
        <f>IF(E88="","",ROUND(E88*Resumen!$B$3,2))</f>
      </c>
      <c r="I88">
        <v>4.6</v>
      </c>
      <c r="J88">
        <v>400</v>
      </c>
      <c r="K88">
        <v>2400</v>
      </c>
      <c r="L88" t="str">
        <v>2.4K+ sold</v>
      </c>
      <c r="M88" t="str">
        <v/>
      </c>
      <c r="N88" t="str">
        <v>https://img.kwcdn.com/product/fancy/0e3a2ccb-d4e4-4f48-9893-5a77158ee17e.jpg</v>
      </c>
      <c r="O88" t="str">
        <v>https://www.temu.com/goods.html?goods_id=601102101268990</v>
      </c>
    </row>
    <row r="89">
      <c r="A89" t="str">
        <v>Computación</v>
      </c>
      <c r="B89" t="str">
        <v>usb hub</v>
      </c>
      <c r="C89" t="str">
        <v>601104246582442</v>
      </c>
      <c r="D89" t="str">
        <v>USB 3.0 Tablet Phone Converter Extender 7-Port 4pcs Set, * a 1.2-meter USB A to Micro * Data Cable, a 1-meter * 5V/2A Stable Power Cable, and a Type-C Adapter. *-port Hub Features Individual Switches and a Universal Blue LED</v>
      </c>
      <c r="E89">
        <v>14.72</v>
      </c>
      <c r="F89">
        <v>56.08</v>
      </c>
      <c r="G89">
        <v>73.75</v>
      </c>
      <c r="H89">
        <f>IF(E89="","",ROUND(E89*Resumen!$B$3,2))</f>
      </c>
      <c r="I89">
        <v>4.6</v>
      </c>
      <c r="J89">
        <v>26</v>
      </c>
      <c r="K89">
        <v>2400</v>
      </c>
      <c r="L89" t="str">
        <v>2.4K+ sold</v>
      </c>
      <c r="M89" t="str">
        <v/>
      </c>
      <c r="N89" t="str">
        <v>https://img.kwcdn.com/product/fancy/7b193b3d-6825-41a8-b075-2757424e387c.jpg</v>
      </c>
      <c r="O89" t="str">
        <v>https://www.temu.com/goods.html?goods_id=601104246582442</v>
      </c>
    </row>
    <row r="90">
      <c r="A90" t="str">
        <v>Computación</v>
      </c>
      <c r="B90" t="str">
        <v>keyboard</v>
      </c>
      <c r="C90" t="str">
        <v>601105335306128</v>
      </c>
      <c r="D90" t="str">
        <v>New Minimalist and Stylish Portable RGB Backlit Keycap Keyboard with * Height Profile in White and Black, Cool Map-Style Keyboard Essential for Home, Office, and Business Use. Suitable for PC Desktops, * PCs, and Laptops. for Windows</v>
      </c>
      <c r="E90">
        <v>17.31</v>
      </c>
      <c r="F90">
        <v>82.97</v>
      </c>
      <c r="G90">
        <v>79.14</v>
      </c>
      <c r="H90">
        <f>IF(E90="","",ROUND(E90*Resumen!$B$3,2))</f>
      </c>
      <c r="I90">
        <v>5</v>
      </c>
      <c r="J90">
        <v>3</v>
      </c>
      <c r="K90">
        <v>2300</v>
      </c>
      <c r="L90" t="str">
        <v>2.3K+ sold</v>
      </c>
      <c r="M90" t="str">
        <v/>
      </c>
      <c r="N90" t="str">
        <v>https://img.kwcdn.com/product/fancy/fd842233-6d8e-4593-a40c-b9b8f8dee5a0.jpg</v>
      </c>
      <c r="O90" t="str">
        <v>https://www.temu.com/goods.html?goods_id=601105335306128</v>
      </c>
    </row>
    <row r="91">
      <c r="A91" t="str">
        <v>Computación</v>
      </c>
      <c r="B91" t="str">
        <v>keyboard</v>
      </c>
      <c r="C91" t="str">
        <v>601099904255090</v>
      </c>
      <c r="D91" t="str">
        <v>Beginner's Keyboard, 25.5 "61-key Keyboard, Built-in Speakers, Electric Piano Music Keyboard, Teaching Mode, Microphone, Music Stand And Power Supply, Portable Keyboard Piano for Beginners</v>
      </c>
      <c r="E91">
        <v>21.7</v>
      </c>
      <c r="F91">
        <v>112.66</v>
      </c>
      <c r="G91">
        <v>80.74</v>
      </c>
      <c r="H91">
        <f>IF(E91="","",ROUND(E91*Resumen!$B$3,2))</f>
      </c>
      <c r="I91">
        <v>4.4</v>
      </c>
      <c r="J91">
        <v>255</v>
      </c>
      <c r="K91">
        <v>2000</v>
      </c>
      <c r="L91" t="str">
        <v>2K+ sold</v>
      </c>
      <c r="M91" t="str">
        <v>Posible teclado musical (no de PC)</v>
      </c>
      <c r="N91" t="str">
        <v>https://img.kwcdn.com/product/open/69afb7e914d54a549f28b4fb45514894-goods.jpeg</v>
      </c>
      <c r="O91" t="str">
        <v>https://www.temu.com/goods.html?goods_id=601099904255090</v>
      </c>
    </row>
    <row r="92">
      <c r="A92" t="str">
        <v>Computación</v>
      </c>
      <c r="B92" t="str">
        <v>usb hub</v>
      </c>
      <c r="C92" t="str">
        <v>601100102730320</v>
      </c>
      <c r="D92" t="str">
        <v>* TC122 USB-C Hub with Dual 4K HDTV, USB 3.0, PD 100W Fast Charging, * for MacBook, iPad M2/M1, * - Portable Docking Station, Device * Hub | Compact USB Hub | Durable * Branding</v>
      </c>
      <c r="E92">
        <v>20.6</v>
      </c>
      <c r="F92">
        <v>95.57</v>
      </c>
      <c r="G92">
        <v>78.45</v>
      </c>
      <c r="H92">
        <f>IF(E92="","",ROUND(E92*Resumen!$B$3,2))</f>
      </c>
      <c r="I92">
        <v>5</v>
      </c>
      <c r="J92">
        <v>2</v>
      </c>
      <c r="K92">
        <v>2000</v>
      </c>
      <c r="L92" t="str">
        <v>2K+ sold</v>
      </c>
      <c r="M92" t="str">
        <v/>
      </c>
      <c r="N92" t="str">
        <v>https://img.kwcdn.com/product/fancy/8efce9a1-c10a-4f34-ae04-f191d2d166cd.jpg</v>
      </c>
      <c r="O92" t="str">
        <v>https://www.temu.com/goods.html?goods_id=601100102730320</v>
      </c>
    </row>
    <row r="93">
      <c r="A93" t="str">
        <v>Computación</v>
      </c>
      <c r="B93" t="str">
        <v>wireless mouse</v>
      </c>
      <c r="C93" t="str">
        <v>601103732403182</v>
      </c>
      <c r="D93" t="str">
        <v>Ergonomic Wireless Mouse with USB Receiver, Wireless Mouse, * 2.4G/BT 5.0 Mouse, Ergonomic Wireless Optical Computer Mouse, Comfortable Feel, Suitable for * * Hands, Suitable for Laptops, PC, Computer, Macbook</v>
      </c>
      <c r="E93">
        <v>8.86</v>
      </c>
      <c r="F93">
        <v>30.29</v>
      </c>
      <c r="G93">
        <v>70.75</v>
      </c>
      <c r="H93">
        <f>IF(E93="","",ROUND(E93*Resumen!$B$3,2))</f>
      </c>
      <c r="I93">
        <v>4.8</v>
      </c>
      <c r="J93">
        <v>30</v>
      </c>
      <c r="K93">
        <v>1900</v>
      </c>
      <c r="L93" t="str">
        <v>1.9K+ sold</v>
      </c>
      <c r="M93" t="str">
        <v/>
      </c>
      <c r="N93" t="str">
        <v>https://img.kwcdn.com/product/fancy/4b4a0228-99cd-41fd-9d4d-05c825154b01.jpg</v>
      </c>
      <c r="O93" t="str">
        <v>https://www.temu.com/goods.html?goods_id=601103732403182</v>
      </c>
    </row>
    <row r="94">
      <c r="A94" t="str">
        <v>Computación</v>
      </c>
      <c r="B94" t="str">
        <v>keyboard</v>
      </c>
      <c r="C94" t="str">
        <v>601100088729429</v>
      </c>
      <c r="D94" t="str">
        <v>Black Wired Gaming Keyboard: USB/*ow Backlit Keyboard for PC, PS4, PS5, * - * for a Comfortable Gaming Experience</v>
      </c>
      <c r="E94">
        <v>14.83</v>
      </c>
      <c r="F94">
        <v>33.45</v>
      </c>
      <c r="G94">
        <v>55.67</v>
      </c>
      <c r="H94">
        <f>IF(E94="","",ROUND(E94*Resumen!$B$3,2))</f>
      </c>
      <c r="I94">
        <v>5</v>
      </c>
      <c r="J94">
        <v>7</v>
      </c>
      <c r="K94">
        <v>1900</v>
      </c>
      <c r="L94" t="str">
        <v>1.9K+ sold</v>
      </c>
      <c r="M94" t="str">
        <v/>
      </c>
      <c r="N94" t="str">
        <v>https://img.kwcdn.com/product/fancy/c2d05f50-d1be-47b9-81c4-e4df56cb1293.jpg</v>
      </c>
      <c r="O94" t="str">
        <v>https://www.temu.com/goods.html?goods_id=601100088729429</v>
      </c>
    </row>
    <row r="95">
      <c r="A95" t="str">
        <v>Computación</v>
      </c>
      <c r="B95" t="str">
        <v>usb hub</v>
      </c>
      <c r="C95" t="str">
        <v>601100119291036</v>
      </c>
      <c r="D95" t="str">
        <v>KODAK USB C Multiport Adapter(T341/T343), 4/* High Speed Hub with USB 3.0 &amp; 1000Mbps Ethernet, Portable Aluminum Alloy Docking Station for Work, Home &amp; Travel</v>
      </c>
      <c r="E95">
        <v>5.01</v>
      </c>
      <c r="F95">
        <v>9.94</v>
      </c>
      <c r="G95">
        <v>49.6</v>
      </c>
      <c r="H95">
        <f>IF(E95="","",ROUND(E95*Resumen!$B$3,2))</f>
      </c>
      <c r="I95">
        <v>4.6</v>
      </c>
      <c r="J95">
        <v>188</v>
      </c>
      <c r="K95">
        <v>1900</v>
      </c>
      <c r="L95" t="str">
        <v>1.9K+ sold</v>
      </c>
      <c r="M95" t="str">
        <v/>
      </c>
      <c r="N95" t="str">
        <v>https://img.kwcdn.com/product/fancy/d73a6681-85d7-4e07-9bfa-00a27dde8373.jpg</v>
      </c>
      <c r="O95" t="str">
        <v>https://www.temu.com/goods.html?goods_id=601100119291036</v>
      </c>
    </row>
    <row r="96">
      <c r="A96" t="str">
        <v>Computación</v>
      </c>
      <c r="B96" t="str">
        <v>keyboard</v>
      </c>
      <c r="C96" t="str">
        <v>601100493288022</v>
      </c>
      <c r="D96" t="str">
        <v>* 2.4G Wireless Keyboard with Numeric Keypad for Computer/Desktop/PC/Laptop for Windows</v>
      </c>
      <c r="E96">
        <v>24.11</v>
      </c>
      <c r="F96">
        <v>49.99</v>
      </c>
      <c r="G96">
        <v>51.77</v>
      </c>
      <c r="H96">
        <f>IF(E96="","",ROUND(E96*Resumen!$B$3,2))</f>
      </c>
      <c r="I96">
        <v>5</v>
      </c>
      <c r="J96">
        <v>5</v>
      </c>
      <c r="K96">
        <v>1900</v>
      </c>
      <c r="L96" t="str">
        <v>1.9K+ sold</v>
      </c>
      <c r="M96" t="str">
        <v/>
      </c>
      <c r="N96" t="str">
        <v>https://img.kwcdn.com/product/fancy/c4af51fa-0889-4f7c-9f99-697304ee76d4.jpg</v>
      </c>
      <c r="O96" t="str">
        <v>https://www.temu.com/goods.html?goods_id=601100493288022</v>
      </c>
    </row>
    <row r="97">
      <c r="A97" t="str">
        <v>Computación</v>
      </c>
      <c r="B97" t="str">
        <v>keyboard</v>
      </c>
      <c r="C97" t="str">
        <v>601103756061715</v>
      </c>
      <c r="D97" t="str">
        <v>* Wired Keyboard Key * Aluminum Alloy * Keycaps Single Color Backlight Fixed Cable Non-Detachable Design Flat Layout Durable Build for Office and Gaming</v>
      </c>
      <c r="E97">
        <v>21.61</v>
      </c>
      <c r="F97">
        <v>114.56</v>
      </c>
      <c r="G97">
        <v>81.14</v>
      </c>
      <c r="H97">
        <f>IF(E97="","",ROUND(E97*Resumen!$B$3,2))</f>
      </c>
      <c r="I97">
        <v>4.8</v>
      </c>
      <c r="J97">
        <v>18</v>
      </c>
      <c r="K97">
        <v>1800</v>
      </c>
      <c r="L97" t="str">
        <v>1.8K+ sold</v>
      </c>
      <c r="M97" t="str">
        <v/>
      </c>
      <c r="N97" t="str">
        <v>https://img.kwcdn.com/product/fancy/95ae0d85-49d7-4be5-ae84-b0bbe86a0558.jpg</v>
      </c>
      <c r="O97" t="str">
        <v>https://www.temu.com/goods.html?goods_id=601103756061715</v>
      </c>
    </row>
    <row r="98">
      <c r="A98" t="str">
        <v>Computación</v>
      </c>
      <c r="B98" t="str">
        <v>usb hub</v>
      </c>
      <c r="C98" t="str">
        <v>606301069405574</v>
      </c>
      <c r="D98" t="str">
        <v>66W 12-Port USB And Type-C Charging Hub Combo Set (6+6) * Pad And Desktop Fast Charging Station Bundle for Home, Office, And Daily Multi-Device Use</v>
      </c>
      <c r="E98">
        <v>7.64</v>
      </c>
      <c r="F98">
        <v>11.5</v>
      </c>
      <c r="G98">
        <v>33.57</v>
      </c>
      <c r="H98">
        <f>IF(E98="","",ROUND(E98*Resumen!$B$3,2))</f>
      </c>
      <c r="I98">
        <v>4.5</v>
      </c>
      <c r="J98">
        <v>37</v>
      </c>
      <c r="K98">
        <v>1800</v>
      </c>
      <c r="L98" t="str">
        <v>1.8K+ sold</v>
      </c>
      <c r="M98" t="str">
        <v/>
      </c>
      <c r="N98" t="str">
        <v>https://img.kwcdn.com/product/fancy/9d0172a0-33e1-45d8-bd9f-93ff8d4a39f1.jpg</v>
      </c>
      <c r="O98" t="str">
        <v>https://www.temu.com/goods.html?goods_id=606301069405574</v>
      </c>
    </row>
    <row r="99">
      <c r="A99" t="str">
        <v>Computación</v>
      </c>
      <c r="B99" t="str">
        <v>usb hub</v>
      </c>
      <c r="C99" t="str">
        <v>605855047090286</v>
      </c>
      <c r="D99" t="str">
        <v>* USB Hub, * with Indicator Lights And Fast Charging, Compact * Adapter with Independent Ports, Compatible with USB Devices, Laptops, Tablets, Smartphones, Flash Drives, * - Suitable for Home/Office/Travel</v>
      </c>
      <c r="E99">
        <v>2.77</v>
      </c>
      <c r="F99">
        <v>24.74</v>
      </c>
      <c r="G99">
        <v>88.8</v>
      </c>
      <c r="H99">
        <f>IF(E99="","",ROUND(E99*Resumen!$B$3,2))</f>
      </c>
      <c r="I99">
        <v>4.7</v>
      </c>
      <c r="J99">
        <v>41</v>
      </c>
      <c r="K99">
        <v>1700</v>
      </c>
      <c r="L99" t="str">
        <v>1.7K+ sold</v>
      </c>
      <c r="M99" t="str">
        <v/>
      </c>
      <c r="N99" t="str">
        <v>https://img.kwcdn.com/product/fancy/2216d665-27b1-4f16-b29e-3d50987389fb.jpg</v>
      </c>
      <c r="O99" t="str">
        <v>https://www.temu.com/goods.html?goods_id=605855047090286</v>
      </c>
    </row>
    <row r="100">
      <c r="A100" t="str">
        <v>Computación</v>
      </c>
      <c r="B100" t="str">
        <v>usb hub</v>
      </c>
      <c r="C100" t="str">
        <v>601103720395092</v>
      </c>
      <c r="D100" t="str">
        <v>Mobile Phone Tablet Hub Extender USB 3.0 7-Port Converter 4pcs Set with Independent Switches and Individual LED Work Indicators, 5* Transfer, Plug and Play, Portable Design. Suitable for PC, MacBook, * Pro, USB Flash Drives, Smartphones</v>
      </c>
      <c r="E100">
        <v>5.41</v>
      </c>
      <c r="F100">
        <v>24.99</v>
      </c>
      <c r="G100">
        <v>78.35</v>
      </c>
      <c r="H100">
        <f>IF(E100="","",ROUND(E100*Resumen!$B$3,2))</f>
      </c>
      <c r="I100">
        <v>4.9</v>
      </c>
      <c r="J100">
        <v>15</v>
      </c>
      <c r="K100">
        <v>1600</v>
      </c>
      <c r="L100" t="str">
        <v>1.6K+ sold</v>
      </c>
      <c r="M100" t="str">
        <v/>
      </c>
      <c r="N100" t="str">
        <v>https://img.kwcdn.com/product/fancy/fae5501f-e4f5-48af-a2df-18f32a407bdb.jpg</v>
      </c>
      <c r="O100" t="str">
        <v>https://www.temu.com/goods.html?goods_id=601103720395092</v>
      </c>
    </row>
    <row r="101">
      <c r="A101" t="str">
        <v>Computación</v>
      </c>
      <c r="B101" t="str">
        <v>usb hub</v>
      </c>
      <c r="C101" t="str">
        <v>607278224760642</v>
      </c>
      <c r="D101" t="str">
        <v>12-Port USB Fast Charging Station, 6 USB-A Fast Charging Ports + 6 Type-C PD Charging Ports, Multi-Device Charging Hub, Space-Saving Desktop Charging Stand, Laptop, Phone, Tablet * Space * * Strip</v>
      </c>
      <c r="E101">
        <v>9.53</v>
      </c>
      <c r="F101">
        <v>13.24</v>
      </c>
      <c r="G101">
        <v>28.02</v>
      </c>
      <c r="H101">
        <f>IF(E101="","",ROUND(E101*Resumen!$B$3,2))</f>
      </c>
      <c r="I101">
        <v>4.8</v>
      </c>
      <c r="J101">
        <v>75</v>
      </c>
      <c r="K101">
        <v>1600</v>
      </c>
      <c r="L101" t="str">
        <v>1.6K+ sold</v>
      </c>
      <c r="M101" t="str">
        <v/>
      </c>
      <c r="N101" t="str">
        <v>https://img.kwcdn.com/product/open/2c36b22d126540cb8a639502b3d3a5b2-goods.jpeg</v>
      </c>
      <c r="O101" t="str">
        <v>https://www.temu.com/goods.html?goods_id=607278224760642</v>
      </c>
    </row>
    <row r="102">
      <c r="A102" t="str">
        <v>Computación</v>
      </c>
      <c r="B102" t="str">
        <v>wireless mouse</v>
      </c>
      <c r="C102" t="str">
        <v>601103732223700</v>
      </c>
      <c r="D102" t="str">
        <v>2.4G and Wireless * Mouse, Office Computer Wireless Mouse, *, Comfortable Grip, Stable and Smooth, Low Latency, Thin and Light Portable Wireless Mouse, Battery Not Included, Suitable for Desktop/ Notebook/ Tablet/ Windows</v>
      </c>
      <c r="E102">
        <v>3.39</v>
      </c>
      <c r="F102">
        <v>7.9</v>
      </c>
      <c r="G102">
        <v>57.09</v>
      </c>
      <c r="H102">
        <f>IF(E102="","",ROUND(E102*Resumen!$B$3,2))</f>
      </c>
      <c r="I102">
        <v>5</v>
      </c>
      <c r="J102">
        <v>1</v>
      </c>
      <c r="K102">
        <v>1500</v>
      </c>
      <c r="L102" t="str">
        <v>1.5K+ sold</v>
      </c>
      <c r="M102" t="str">
        <v/>
      </c>
      <c r="N102" t="str">
        <v>https://img.kwcdn.com/product/fancy/d4d33ce5-c6f3-4645-ad1e-4ceda88c8590.jpg</v>
      </c>
      <c r="O102" t="str">
        <v>https://www.temu.com/goods.html?goods_id=601103732223700</v>
      </c>
    </row>
    <row r="103">
      <c r="A103" t="str">
        <v>Computación</v>
      </c>
      <c r="B103" t="str">
        <v>keyboard</v>
      </c>
      <c r="C103" t="str">
        <v>601099979422076</v>
      </c>
      <c r="D103" t="str">
        <v>Wired Gaming Keyboard, 104 Keys Full Size, LED Backlight, Ergonomic Quiet Design, USB Power, Adjustable Volume Knob, for Desktop And Laptop Computers, Office Accessories</v>
      </c>
      <c r="E103">
        <v>20.33</v>
      </c>
      <c r="F103">
        <v>105.96</v>
      </c>
      <c r="G103">
        <v>80.81</v>
      </c>
      <c r="H103">
        <f>IF(E103="","",ROUND(E103*Resumen!$B$3,2))</f>
      </c>
      <c r="I103">
        <v>4.6</v>
      </c>
      <c r="J103">
        <v>228</v>
      </c>
      <c r="K103">
        <v>1500</v>
      </c>
      <c r="L103" t="str">
        <v>1.5K+ sold</v>
      </c>
      <c r="M103" t="str">
        <v/>
      </c>
      <c r="N103" t="str">
        <v>https://img.kwcdn.com/product/fancy/17ba4d15-64f6-4222-93c3-4eca395617db.jpg</v>
      </c>
      <c r="O103" t="str">
        <v>https://www.temu.com/goods.html?goods_id=601099979422076</v>
      </c>
    </row>
    <row r="104">
      <c r="A104" t="str">
        <v>Computación</v>
      </c>
      <c r="B104" t="str">
        <v>keyboard</v>
      </c>
      <c r="C104" t="str">
        <v>601100140626200</v>
      </c>
      <c r="D104" t="str">
        <v>Premium Cyberpunk Mechanical Keyboard USB Cable, Retro Typewriter-style Mechanical Keyboard with 104 Keys * Knob with Responsive Operation * Tactile * Compatible with Wired USB Desktops And Laptops</v>
      </c>
      <c r="E104">
        <v>25.5</v>
      </c>
      <c r="F104">
        <v>170.93</v>
      </c>
      <c r="G104">
        <v>85.08</v>
      </c>
      <c r="H104">
        <f>IF(E104="","",ROUND(E104*Resumen!$B$3,2))</f>
      </c>
      <c r="I104">
        <v>4.7</v>
      </c>
      <c r="J104">
        <v>209</v>
      </c>
      <c r="K104">
        <v>1400</v>
      </c>
      <c r="L104" t="str">
        <v>1.4K+ sold</v>
      </c>
      <c r="M104" t="str">
        <v/>
      </c>
      <c r="N104" t="str">
        <v>https://img.kwcdn.com/product/fancy/be52dcc5-569e-4eb5-9e0c-52634508156d.jpg</v>
      </c>
      <c r="O104" t="str">
        <v>https://www.temu.com/goods.html?goods_id=601100140626200</v>
      </c>
    </row>
    <row r="105">
      <c r="A105" t="str">
        <v>Computación</v>
      </c>
      <c r="B105" t="str">
        <v>usb hub</v>
      </c>
      <c r="C105" t="str">
        <v>601104665140820</v>
      </c>
      <c r="D105" t="str">
        <v>* Ultra-Thin 4-Port USB/C3.0 Hub, Aluminum Alloy Type-C Adapter, Docking Station &amp; Splitter with Fast Data Transfer, Compatible with Laptops, *, Smartphones, OTG Adapters, Flash Drives, *, Gaming Consoles, Printers, Cameras</v>
      </c>
      <c r="E105">
        <v>6.59</v>
      </c>
      <c r="H105">
        <f>IF(E105="","",ROUND(E105*Resumen!$B$3,2))</f>
      </c>
      <c r="I105">
        <v>5</v>
      </c>
      <c r="J105">
        <v>11</v>
      </c>
      <c r="K105">
        <v>1400</v>
      </c>
      <c r="L105" t="str">
        <v>1.4K+ sold</v>
      </c>
      <c r="M105" t="str">
        <v/>
      </c>
      <c r="N105" t="str">
        <v>https://img.kwcdn.com/product/fancy/3e31a51a-49dd-4020-86e8-9fbc67e15c93.jpg</v>
      </c>
      <c r="O105" t="str">
        <v>https://www.temu.com/goods.html?goods_id=601104665140820</v>
      </c>
    </row>
    <row r="106">
      <c r="A106" t="str">
        <v>Computación</v>
      </c>
      <c r="B106" t="str">
        <v>wireless mouse</v>
      </c>
      <c r="C106" t="str">
        <v>601103185178070</v>
      </c>
      <c r="D106" t="str">
        <v>* * X11 Lightweight Wireless Gaming Mouse with RGB Charging Dock, *-2.4G/USB-C Wired/Wireless, PAW3311 Optical Sensor, * Switch, 5 Programmable Buttons for PC/*, Wireless Mouse for Gaming, Gaming Mice, Gaming Mouse Wireless, Pc Gaming, * Gaming, Mouse Gaming</v>
      </c>
      <c r="E106">
        <v>22.26</v>
      </c>
      <c r="F106">
        <v>108.16</v>
      </c>
      <c r="G106">
        <v>79.42</v>
      </c>
      <c r="H106">
        <f>IF(E106="","",ROUND(E106*Resumen!$B$3,2))</f>
      </c>
      <c r="I106">
        <v>4.8</v>
      </c>
      <c r="J106">
        <v>138</v>
      </c>
      <c r="K106">
        <v>1300</v>
      </c>
      <c r="L106" t="str">
        <v>1.3K+ sold</v>
      </c>
      <c r="M106" t="str">
        <v/>
      </c>
      <c r="N106" t="str">
        <v>https://img.kwcdn.com/product/fancy/1a0014eb-83d0-4551-a146-a39d5f43c049.jpg</v>
      </c>
      <c r="O106" t="str">
        <v>https://www.temu.com/goods.html?goods_id=601103185178070</v>
      </c>
    </row>
    <row r="107">
      <c r="A107" t="str">
        <v>Computación</v>
      </c>
      <c r="B107" t="str">
        <v>wireless mouse</v>
      </c>
      <c r="C107" t="str">
        <v>601104222650475</v>
      </c>
      <c r="D107" t="str">
        <v>This Wireless Wireless Mouse Is Rechargeable, Quiet, *, And Portable; * with Laptops, Ipads, *, Surface Pro, Pcs, And Samsung Tablets</v>
      </c>
      <c r="E107">
        <v>4.57</v>
      </c>
      <c r="F107">
        <v>62.94</v>
      </c>
      <c r="G107">
        <v>92.74</v>
      </c>
      <c r="H107">
        <f>IF(E107="","",ROUND(E107*Resumen!$B$3,2))</f>
      </c>
      <c r="I107">
        <v>4.8</v>
      </c>
      <c r="J107">
        <v>179</v>
      </c>
      <c r="K107">
        <v>1300</v>
      </c>
      <c r="L107" t="str">
        <v>1.3K+ sold</v>
      </c>
      <c r="M107" t="str">
        <v/>
      </c>
      <c r="N107" t="str">
        <v>https://img.kwcdn.com/product/fancy/27b324c5-abe2-45e0-af65-d037f9159ecf.jpg</v>
      </c>
      <c r="O107" t="str">
        <v>https://www.temu.com/goods.html?goods_id=601104222650475</v>
      </c>
    </row>
    <row r="108">
      <c r="A108" t="str">
        <v>Computación</v>
      </c>
      <c r="B108" t="str">
        <v>wireless mouse</v>
      </c>
      <c r="C108" t="str">
        <v>601105241995207</v>
      </c>
      <c r="D108" t="str">
        <v>Wireless Bluetooth Mouse for Laptop - Optical Rechargeable Silent Mouse with * * Switch Bluetooth 5.2/3.0 And 2.4GHz USB-A And Type-C Receiver Black</v>
      </c>
      <c r="E108">
        <v>2.83</v>
      </c>
      <c r="F108">
        <v>30.06</v>
      </c>
      <c r="G108">
        <v>90.59</v>
      </c>
      <c r="H108">
        <f>IF(E108="","",ROUND(E108*Resumen!$B$3,2))</f>
      </c>
      <c r="I108">
        <v>4.7</v>
      </c>
      <c r="J108">
        <v>156</v>
      </c>
      <c r="K108">
        <v>1300</v>
      </c>
      <c r="L108" t="str">
        <v>1.3K+ sold</v>
      </c>
      <c r="M108" t="str">
        <v/>
      </c>
      <c r="N108" t="str">
        <v>https://img.kwcdn.com/product/fancy/4a8e76f0-fcb2-4d7a-b9ec-420344186303.jpg</v>
      </c>
      <c r="O108" t="str">
        <v>https://www.temu.com/goods.html?goods_id=601105241995207</v>
      </c>
    </row>
    <row r="109">
      <c r="A109" t="str">
        <v>Computación</v>
      </c>
      <c r="B109" t="str">
        <v>usb hub</v>
      </c>
      <c r="C109" t="str">
        <v>601103500273860</v>
      </c>
      <c r="D109" t="str">
        <v>* * HUB 39.37inch Long and 5.91inch Short Options, USB Plug and Play Interface</v>
      </c>
      <c r="E109">
        <v>11.13</v>
      </c>
      <c r="H109">
        <f>IF(E109="","",ROUND(E109*Resumen!$B$3,2))</f>
      </c>
      <c r="I109">
        <v>5</v>
      </c>
      <c r="J109">
        <v>2</v>
      </c>
      <c r="K109">
        <v>1300</v>
      </c>
      <c r="L109" t="str">
        <v>1.3K+ sold</v>
      </c>
      <c r="M109" t="str">
        <v/>
      </c>
      <c r="N109" t="str">
        <v>https://img.kwcdn.com/product/fancy/16c6aacd-22b0-4be7-ae48-5745255d9b25.jpg</v>
      </c>
      <c r="O109" t="str">
        <v>https://www.temu.com/goods.html?goods_id=601103500273860</v>
      </c>
    </row>
    <row r="110">
      <c r="A110" t="str">
        <v>Computación</v>
      </c>
      <c r="B110" t="str">
        <v>usb hub</v>
      </c>
      <c r="C110" t="str">
        <v>606896442453061</v>
      </c>
      <c r="D110" t="str">
        <v>* USB Hub Compatible for PC/Laptop/Tablet/Smartphone, * USB-C Expansion Dock with * Hub, Portable USB-C Adapter Suitable for USB- Devices, SD/TF Card Reader, USB-C Expansion Station for Smartphones, Tablets, PCs</v>
      </c>
      <c r="E110">
        <v>13.76</v>
      </c>
      <c r="F110">
        <v>30.19</v>
      </c>
      <c r="G110">
        <v>54.42</v>
      </c>
      <c r="H110">
        <f>IF(E110="","",ROUND(E110*Resumen!$B$3,2))</f>
      </c>
      <c r="I110">
        <v>5</v>
      </c>
      <c r="J110">
        <v>6</v>
      </c>
      <c r="K110">
        <v>1300</v>
      </c>
      <c r="L110" t="str">
        <v>1.3K+ sold</v>
      </c>
      <c r="M110" t="str">
        <v/>
      </c>
      <c r="N110" t="str">
        <v>https://img.kwcdn.com/product/fancy/8061c04e-bff2-4222-b5d9-33dbda855da4.jpg</v>
      </c>
      <c r="O110" t="str">
        <v>https://www.temu.com/goods.html?goods_id=606896442453061</v>
      </c>
    </row>
    <row r="111">
      <c r="A111" t="str">
        <v>Computación</v>
      </c>
      <c r="B111" t="str">
        <v>wireless mouse</v>
      </c>
      <c r="C111" t="str">
        <v>606169603112480</v>
      </c>
      <c r="D111" t="str">
        <v>* A9V2 BT * Wireless Mouse, Silent Clicks, Smart Battery Level Display, Type-C Charging, Ergonomic Lightweight Design, 420mAh Large Capacity Lithium Battery, Widened Thumb Rest, 200-12800DPI Driver Adjustable, Fully Programmable Keys,</v>
      </c>
      <c r="E111">
        <v>18.65</v>
      </c>
      <c r="F111">
        <v>64.71</v>
      </c>
      <c r="G111">
        <v>71.18</v>
      </c>
      <c r="H111">
        <f>IF(E111="","",ROUND(E111*Resumen!$B$3,2))</f>
      </c>
      <c r="I111">
        <v>5</v>
      </c>
      <c r="J111">
        <v>6</v>
      </c>
      <c r="K111">
        <v>1200</v>
      </c>
      <c r="L111" t="str">
        <v>1.2K+ sold</v>
      </c>
      <c r="M111" t="str">
        <v/>
      </c>
      <c r="N111" t="str">
        <v>https://img.kwcdn.com/product/fancy/32be1bd9-fd06-4741-88d4-58d8bb00b01d.jpg</v>
      </c>
      <c r="O111" t="str">
        <v>https://www.temu.com/goods.html?goods_id=606169603112480</v>
      </c>
    </row>
    <row r="112">
      <c r="A112" t="str">
        <v>Computación</v>
      </c>
      <c r="B112" t="str">
        <v>usb hub</v>
      </c>
      <c r="C112" t="str">
        <v>601100688589693</v>
      </c>
      <c r="D112" t="str">
        <v>USB 3.0 Type C Adapter Docking Station USB 2.0 Port TF SD Card Reader Audio Output Multi-hub Splitter For * Computer</v>
      </c>
      <c r="E112">
        <v>13.48</v>
      </c>
      <c r="F112">
        <v>14.49</v>
      </c>
      <c r="G112">
        <v>6.97</v>
      </c>
      <c r="H112">
        <f>IF(E112="","",ROUND(E112*Resumen!$B$3,2))</f>
      </c>
      <c r="I112">
        <v>4.9</v>
      </c>
      <c r="J112">
        <v>122</v>
      </c>
      <c r="K112">
        <v>1200</v>
      </c>
      <c r="L112" t="str">
        <v>1.2K+ sold</v>
      </c>
      <c r="M112" t="str">
        <v/>
      </c>
      <c r="N112" t="str">
        <v>https://img.kwcdn.com/product/fancy/dbb81bdf-24e9-4c43-b503-3b54b16ddffd.jpg</v>
      </c>
      <c r="O112" t="str">
        <v>https://www.temu.com/goods.html?goods_id=601100688589693</v>
      </c>
    </row>
    <row r="113">
      <c r="A113" t="str">
        <v>Computación</v>
      </c>
      <c r="B113" t="str">
        <v>keyboard</v>
      </c>
      <c r="C113" t="str">
        <v>605940711578214</v>
      </c>
      <c r="D113" t="str">
        <v>Complete Accessory Set for a 61-Key Electronic Keyboard, Including a Microphone, Sheet Music, And Key Stickers, Ideal for Home Practice And Beginners. A Perfect Gift for Birthdays And Holidays for Family</v>
      </c>
      <c r="E113">
        <v>22.65</v>
      </c>
      <c r="F113">
        <v>112.77</v>
      </c>
      <c r="G113">
        <v>79.91</v>
      </c>
      <c r="H113">
        <f>IF(E113="","",ROUND(E113*Resumen!$B$3,2))</f>
      </c>
      <c r="I113">
        <v>4.6</v>
      </c>
      <c r="J113">
        <v>165</v>
      </c>
      <c r="K113">
        <v>1200</v>
      </c>
      <c r="L113" t="str">
        <v>1.2K+ sold</v>
      </c>
      <c r="M113" t="str">
        <v>Posible teclado musical (no de PC)</v>
      </c>
      <c r="N113" t="str">
        <v>https://img.kwcdn.com/product/fancy/5f5ad5f2-f8c3-4c75-b45d-13334f9e1e3c.jpg</v>
      </c>
      <c r="O113" t="str">
        <v>https://www.temu.com/goods.html?goods_id=605940711578214</v>
      </c>
    </row>
    <row r="114">
      <c r="A114" t="str">
        <v>Computación</v>
      </c>
      <c r="B114" t="str">
        <v>usb hub</v>
      </c>
      <c r="C114" t="str">
        <v>606972678127248</v>
      </c>
      <c r="D114" t="str">
        <v>* * USB-C Hub Docking Station, USB 3.0 5* Data Transfer, USB-C to USB Adapter with USB-A And Type-C Connectors, 4 USB Ports, SD/TF Card Reader, 3.5Mm Audio Jack for Macbook Laptop Ipad Tablet PC</v>
      </c>
      <c r="E114">
        <v>10.83</v>
      </c>
      <c r="F114">
        <v>33.61</v>
      </c>
      <c r="G114">
        <v>67.78</v>
      </c>
      <c r="H114">
        <f>IF(E114="","",ROUND(E114*Resumen!$B$3,2))</f>
      </c>
      <c r="I114">
        <v>5</v>
      </c>
      <c r="J114">
        <v>3</v>
      </c>
      <c r="K114">
        <v>1200</v>
      </c>
      <c r="L114" t="str">
        <v>1.2K+ sold</v>
      </c>
      <c r="M114" t="str">
        <v/>
      </c>
      <c r="N114" t="str">
        <v>https://img.kwcdn.com/product/fancy/6a091c20-106a-49e3-ae6a-cc7eb1a07e05.jpg</v>
      </c>
      <c r="O114" t="str">
        <v>https://www.temu.com/goods.html?goods_id=606972678127248</v>
      </c>
    </row>
    <row r="115">
      <c r="A115" t="str">
        <v>Computación</v>
      </c>
      <c r="B115" t="str">
        <v>keyboard</v>
      </c>
      <c r="C115" t="str">
        <v>606053236338745</v>
      </c>
      <c r="D115" t="str">
        <v>61-Key Mini 17 Types of RGB Backlit Keyboard, Ergonomic High Quality Mechanical Feel, * Size, Easy to Carry, for Windows, PC, *, PS4, * * Players, PC Notebook, Gift for Friends, *, *, Cute Keyboard</v>
      </c>
      <c r="E115">
        <v>12.68</v>
      </c>
      <c r="F115">
        <v>79.64</v>
      </c>
      <c r="G115">
        <v>84.08</v>
      </c>
      <c r="H115">
        <f>IF(E115="","",ROUND(E115*Resumen!$B$3,2))</f>
      </c>
      <c r="I115">
        <v>4.5</v>
      </c>
      <c r="J115">
        <v>160</v>
      </c>
      <c r="K115">
        <v>1100</v>
      </c>
      <c r="L115" t="str">
        <v>1.1K+ sold</v>
      </c>
      <c r="M115" t="str">
        <v/>
      </c>
      <c r="N115" t="str">
        <v>https://img.kwcdn.com/product/fancy/b014f5c6-477f-411d-baa3-699156da474d.jpg</v>
      </c>
      <c r="O115" t="str">
        <v>https://www.temu.com/goods.html?goods_id=606053236338745</v>
      </c>
    </row>
    <row r="116">
      <c r="A116" t="str">
        <v>Computación</v>
      </c>
      <c r="B116" t="str">
        <v>wireless mouse</v>
      </c>
      <c r="C116" t="str">
        <v>601102636617456</v>
      </c>
      <c r="D116" t="str">
        <v>Ergonomic 2.4G Wireless Mouse, Plug And Play, Driver-Free, Portable Office Wireless Mouse, Blue And Black *, Desktop Computer Laptop Universal, Intelligent *, Battery-Powered, Wireless Mouse with USB Receiver, 4 Buttons</v>
      </c>
      <c r="E116">
        <v>5.69</v>
      </c>
      <c r="F116">
        <v>33.16</v>
      </c>
      <c r="G116">
        <v>82.84</v>
      </c>
      <c r="H116">
        <f>IF(E116="","",ROUND(E116*Resumen!$B$3,2))</f>
      </c>
      <c r="I116">
        <v>5</v>
      </c>
      <c r="J116">
        <v>8</v>
      </c>
      <c r="K116">
        <v>1000</v>
      </c>
      <c r="L116" t="str">
        <v>1K+ sold</v>
      </c>
      <c r="M116" t="str">
        <v/>
      </c>
      <c r="N116" t="str">
        <v>https://img.kwcdn.com/product/fancy/ae88d21c-782e-403f-b540-99659c5f57cd.jpg</v>
      </c>
      <c r="O116" t="str">
        <v>https://www.temu.com/goods.html?goods_id=601102636617456</v>
      </c>
    </row>
    <row r="117">
      <c r="A117" t="str">
        <v>Computación</v>
      </c>
      <c r="B117" t="str">
        <v>keyboard</v>
      </c>
      <c r="C117" t="str">
        <v>601099592766415</v>
      </c>
      <c r="D117" t="str">
        <v>* 60% wired gaming keyboard, RGB backlight mini small size convenient to carry 61 key thin film keyboard, suitable for PC/* *, typists, travel keyboards can only be wired for use (White and Black)</v>
      </c>
      <c r="E117">
        <v>10.57</v>
      </c>
      <c r="F117">
        <v>55.99</v>
      </c>
      <c r="G117">
        <v>81.12</v>
      </c>
      <c r="H117">
        <f>IF(E117="","",ROUND(E117*Resumen!$B$3,2))</f>
      </c>
      <c r="I117">
        <v>4.7</v>
      </c>
      <c r="J117">
        <v>131</v>
      </c>
      <c r="K117">
        <v>1000</v>
      </c>
      <c r="L117" t="str">
        <v>1K+ sold</v>
      </c>
      <c r="M117" t="str">
        <v/>
      </c>
      <c r="N117" t="str">
        <v>https://img.kwcdn.com/product/fancy/b29299f6-5c79-4360-8e43-a266ea76845a.jpg</v>
      </c>
      <c r="O117" t="str">
        <v>https://www.temu.com/goods.html?goods_id=601099592766415</v>
      </c>
    </row>
    <row r="118">
      <c r="A118" t="str">
        <v>Computación</v>
      </c>
      <c r="B118" t="str">
        <v>usb hub</v>
      </c>
      <c r="C118" t="str">
        <v>601100066249574</v>
      </c>
      <c r="D118" t="str">
        <v>A Multifunctional USB-C Hub with 8 Ports That Supports 4K HDTV Output, * 3937.01 Inch RJ45 Port, SD/TF Card Reader And Fast Charger, Compatible with Macbook And Windows Laptops</v>
      </c>
      <c r="E118">
        <v>5.25</v>
      </c>
      <c r="F118">
        <v>47.62</v>
      </c>
      <c r="G118">
        <v>88.98</v>
      </c>
      <c r="H118">
        <f>IF(E118="","",ROUND(E118*Resumen!$B$3,2))</f>
      </c>
      <c r="I118">
        <v>4.5</v>
      </c>
      <c r="J118">
        <v>101</v>
      </c>
      <c r="K118">
        <v>1000</v>
      </c>
      <c r="L118" t="str">
        <v>1K+ sold</v>
      </c>
      <c r="M118" t="str">
        <v/>
      </c>
      <c r="N118" t="str">
        <v>https://img.kwcdn.com/product/fancy/31d53064-d38f-4884-adaf-6ae0de04d4ba.jpg</v>
      </c>
      <c r="O118" t="str">
        <v>https://www.temu.com/goods.html?goods_id=601100066249574</v>
      </c>
    </row>
    <row r="119">
      <c r="A119" t="str">
        <v>Computación</v>
      </c>
      <c r="B119" t="str">
        <v>keyboard</v>
      </c>
      <c r="C119" t="str">
        <v>601102140231339</v>
      </c>
      <c r="D119" t="str">
        <v>104 Key Full-size Illuminated Keyboard, Silent Wired Gaming Keyboard, RGB Light Mechanical Gaming Keyboard And Mouse Combination - Ultra-high *, Durable And Ergonomic, Suitable for *, * Gaming, Office And Home Use</v>
      </c>
      <c r="E119">
        <v>9.19</v>
      </c>
      <c r="F119">
        <v>57.99</v>
      </c>
      <c r="G119">
        <v>84.15</v>
      </c>
      <c r="H119">
        <f>IF(E119="","",ROUND(E119*Resumen!$B$3,2))</f>
      </c>
      <c r="I119">
        <v>4.5</v>
      </c>
      <c r="J119">
        <v>166</v>
      </c>
      <c r="K119">
        <v>1000</v>
      </c>
      <c r="L119" t="str">
        <v>1K+ sold</v>
      </c>
      <c r="M119" t="str">
        <v/>
      </c>
      <c r="N119" t="str">
        <v>https://img.kwcdn.com/product/fancy/6540a3bf-68f7-4661-81bc-8fe570f320a3.jpg</v>
      </c>
      <c r="O119" t="str">
        <v>https://www.temu.com/goods.html?goods_id=601102140231339</v>
      </c>
    </row>
    <row r="120">
      <c r="A120" t="str">
        <v>Computación</v>
      </c>
      <c r="B120" t="str">
        <v>keyboard</v>
      </c>
      <c r="C120" t="str">
        <v>601103789672204</v>
      </c>
      <c r="D120" t="str">
        <v>* Gaming Keyboard Wired-*ow Backlit, Portable Blue Keyboard Office-98 Keys, Computer External Keyboards *, with Multimedia Knob, Ball Keycaps, for * And Office, Compatible with Windows/Laptop Gaming Periphe*ls</v>
      </c>
      <c r="E120">
        <v>20.05</v>
      </c>
      <c r="F120">
        <v>153.5</v>
      </c>
      <c r="G120">
        <v>86.94</v>
      </c>
      <c r="H120">
        <f>IF(E120="","",ROUND(E120*Resumen!$B$3,2))</f>
      </c>
      <c r="I120">
        <v>4.7</v>
      </c>
      <c r="J120">
        <v>29</v>
      </c>
      <c r="K120">
        <v>1000</v>
      </c>
      <c r="L120" t="str">
        <v>1K+ sold</v>
      </c>
      <c r="M120" t="str">
        <v/>
      </c>
      <c r="N120" t="str">
        <v>https://img.kwcdn.com/product/fancy/2df32baf-d155-48f3-bd21-874122f6660d.jpg</v>
      </c>
      <c r="O120" t="str">
        <v>https://www.temu.com/goods.html?goods_id=601103789672204</v>
      </c>
    </row>
    <row r="121">
      <c r="A121" t="str">
        <v>Computación</v>
      </c>
      <c r="B121" t="str">
        <v>usb hub</v>
      </c>
      <c r="C121" t="str">
        <v>601104507111920</v>
      </c>
      <c r="D121" t="str">
        <v>* Type-C Docking Station, 9-In-1 Integrated USB Hub with Gigabit Ethernet Port And Card Reader, Laptop Adapter, Supports * Connection of Multiple Devices, * Transmission Without *, Compatible with * Brands</v>
      </c>
      <c r="E121">
        <v>21.38</v>
      </c>
      <c r="F121">
        <v>62.8</v>
      </c>
      <c r="G121">
        <v>65.96</v>
      </c>
      <c r="H121">
        <f>IF(E121="","",ROUND(E121*Resumen!$B$3,2))</f>
      </c>
      <c r="I121">
        <v>4</v>
      </c>
      <c r="J121">
        <v>4</v>
      </c>
      <c r="K121">
        <v>1000</v>
      </c>
      <c r="L121" t="str">
        <v>1K+ sold</v>
      </c>
      <c r="M121" t="str">
        <v/>
      </c>
      <c r="N121" t="str">
        <v>https://img.kwcdn.com/product/fancy/fb265bb8-3a34-483e-a448-f7ee6b0708c2.jpg</v>
      </c>
      <c r="O121" t="str">
        <v>https://www.temu.com/goods.html?goods_id=601104507111920</v>
      </c>
    </row>
    <row r="122">
      <c r="A122" t="str">
        <v>Computación</v>
      </c>
      <c r="B122" t="str">
        <v>keyboard</v>
      </c>
      <c r="C122" t="str">
        <v>601105206412322</v>
      </c>
      <c r="D122" t="str">
        <v>* 61-Key Wired Keyboard, Compact * with RGB Backlight, Type-*, Quiet And Elegant Style, Works with Laptop And Desktop, * Gaming And Office Use</v>
      </c>
      <c r="E122">
        <v>24.59</v>
      </c>
      <c r="F122">
        <v>176.45</v>
      </c>
      <c r="G122">
        <v>86.06</v>
      </c>
      <c r="H122">
        <f>IF(E122="","",ROUND(E122*Resumen!$B$3,2))</f>
      </c>
      <c r="I122">
        <v>5</v>
      </c>
      <c r="J122">
        <v>1</v>
      </c>
      <c r="K122">
        <v>1000</v>
      </c>
      <c r="L122" t="str">
        <v>1K+ sold</v>
      </c>
      <c r="M122" t="str">
        <v/>
      </c>
      <c r="N122" t="str">
        <v>https://img.kwcdn.com/product/fancy/db9861d5-f104-45ec-9b4b-d0d02527b4a8.jpg</v>
      </c>
      <c r="O122" t="str">
        <v>https://www.temu.com/goods.html?goods_id=601105206412322</v>
      </c>
    </row>
    <row r="123">
      <c r="A123" t="str">
        <v>Computación</v>
      </c>
      <c r="B123" t="str">
        <v>usb hub</v>
      </c>
      <c r="C123" t="str">
        <v>605770708052421</v>
      </c>
      <c r="D123" t="str">
        <v>12-Port USB Fast Charging Power Strip, Max 25W Per Port High Speed Charging, 6 Type-C PD And 6 USB-A *, Sleek Minimalist *, Multi-Device Charging Hub Compatible with Laptops, Tablets, Smartphones And More</v>
      </c>
      <c r="E123">
        <v>4.6</v>
      </c>
      <c r="F123">
        <v>30.6</v>
      </c>
      <c r="G123">
        <v>84.97</v>
      </c>
      <c r="H123">
        <f>IF(E123="","",ROUND(E123*Resumen!$B$3,2))</f>
      </c>
      <c r="I123">
        <v>4.8</v>
      </c>
      <c r="J123">
        <v>113</v>
      </c>
      <c r="K123">
        <v>1000</v>
      </c>
      <c r="L123" t="str">
        <v>1K+ sold</v>
      </c>
      <c r="M123" t="str">
        <v/>
      </c>
      <c r="N123" t="str">
        <v>https://img.kwcdn.com/product/fancy/9b242e1b-7f60-4256-bcc2-9f9c43b04681.jpg</v>
      </c>
      <c r="O123" t="str">
        <v>https://www.temu.com/goods.html?goods_id=605770708052421</v>
      </c>
    </row>
    <row r="124">
      <c r="A124" t="str">
        <v>Computación</v>
      </c>
      <c r="B124" t="str">
        <v>usb hub</v>
      </c>
      <c r="C124" t="str">
        <v>606429045973208</v>
      </c>
      <c r="D124" t="str">
        <v>* USB Stand Power Strip with 39.37inch 30W Fast Charging Cable for Phones and Tablets, USB Hub for Laptops and Desktop Computers</v>
      </c>
      <c r="E124">
        <v>3.11</v>
      </c>
      <c r="F124">
        <v>9.47</v>
      </c>
      <c r="G124">
        <v>67.16</v>
      </c>
      <c r="H124">
        <f>IF(E124="","",ROUND(E124*Resumen!$B$3,2))</f>
      </c>
      <c r="I124">
        <v>5</v>
      </c>
      <c r="J124">
        <v>2</v>
      </c>
      <c r="K124">
        <v>1000</v>
      </c>
      <c r="L124" t="str">
        <v>1K+ sold</v>
      </c>
      <c r="M124" t="str">
        <v/>
      </c>
      <c r="N124" t="str">
        <v>https://img.kwcdn.com/product/fancy/7bb7733b-283e-4a47-a443-dcd1a32620fb.jpg</v>
      </c>
      <c r="O124" t="str">
        <v>https://www.temu.com/goods.html?goods_id=606429045973208</v>
      </c>
    </row>
    <row r="125">
      <c r="A125" t="str">
        <v>Computación</v>
      </c>
      <c r="B125" t="str">
        <v>usb hub</v>
      </c>
      <c r="C125" t="str">
        <v>606191614846587</v>
      </c>
      <c r="D125" t="str">
        <v>* * USB Hub Docking Station with 4 USB Ports &amp; Type-C Power Input, Portable USB Splitter Suitable for Laptop, PC, Tablet, Keyboard, Mouse, Drives, * Expansion Hub for Office, Travel, School, Gift for USB-*</v>
      </c>
      <c r="E125">
        <v>6.66</v>
      </c>
      <c r="F125">
        <v>14.32</v>
      </c>
      <c r="G125">
        <v>53.49</v>
      </c>
      <c r="H125">
        <f>IF(E125="","",ROUND(E125*Resumen!$B$3,2))</f>
      </c>
      <c r="I125">
        <v>4.8</v>
      </c>
      <c r="J125">
        <v>23</v>
      </c>
      <c r="K125">
        <v>994</v>
      </c>
      <c r="L125" t="str">
        <v>994 sold</v>
      </c>
      <c r="M125" t="str">
        <v/>
      </c>
      <c r="N125" t="str">
        <v>https://img.kwcdn.com/product/fancy/e6a5da74-e099-4d98-9a9a-6f1777b4ca7c.jpg</v>
      </c>
      <c r="O125" t="str">
        <v>https://www.temu.com/goods.html?goods_id=606191614846587</v>
      </c>
    </row>
    <row r="126">
      <c r="A126" t="str">
        <v>Computación</v>
      </c>
      <c r="B126" t="str">
        <v>keyboard</v>
      </c>
      <c r="C126" t="str">
        <v>601100200859997</v>
      </c>
      <c r="D126" t="str">
        <v>2025 * Mechanical Keyboard with 87 Keys, Compact Layout, Green Axis, RGB Dynamic Lighting Effect, Full Key, *, High Quality, Office Game, *</v>
      </c>
      <c r="E126">
        <v>18.76</v>
      </c>
      <c r="F126">
        <v>175.85</v>
      </c>
      <c r="G126">
        <v>89.33</v>
      </c>
      <c r="H126">
        <f>IF(E126="","",ROUND(E126*Resumen!$B$3,2))</f>
      </c>
      <c r="K126">
        <v>964</v>
      </c>
      <c r="L126" t="str">
        <v>964 sold</v>
      </c>
      <c r="M126" t="str">
        <v/>
      </c>
      <c r="N126" t="str">
        <v>https://img.kwcdn.com/product/open/1b001e463de04286b783722e21f5a347-goods.jpeg</v>
      </c>
      <c r="O126" t="str">
        <v>https://www.temu.com/goods.html?goods_id=601100200859997</v>
      </c>
    </row>
    <row r="127">
      <c r="A127" t="str">
        <v>Computación</v>
      </c>
      <c r="B127" t="str">
        <v>keyboard</v>
      </c>
      <c r="C127" t="str">
        <v>601099554897520</v>
      </c>
      <c r="D127" t="str">
        <v>* 60% Wired Gaming Keyboard, Small RGB Backlit Film Gaming Keyboard, * Keyboard for PC * Red Black for Wired Use Only</v>
      </c>
      <c r="E127">
        <v>9.88</v>
      </c>
      <c r="F127">
        <v>55.99</v>
      </c>
      <c r="G127">
        <v>82.35</v>
      </c>
      <c r="H127">
        <f>IF(E127="","",ROUND(E127*Resumen!$B$3,2))</f>
      </c>
      <c r="I127">
        <v>4.7</v>
      </c>
      <c r="J127">
        <v>128</v>
      </c>
      <c r="K127">
        <v>931</v>
      </c>
      <c r="L127" t="str">
        <v>931 sold</v>
      </c>
      <c r="M127" t="str">
        <v/>
      </c>
      <c r="N127" t="str">
        <v>https://img.kwcdn.com/product/fancy/7671021c-c440-4838-9bc1-27696608106c.jpg</v>
      </c>
      <c r="O127" t="str">
        <v>https://www.temu.com/goods.html?goods_id=601099554897520</v>
      </c>
    </row>
    <row r="128">
      <c r="A128" t="str">
        <v>Computación</v>
      </c>
      <c r="B128" t="str">
        <v>usb hub</v>
      </c>
      <c r="C128" t="str">
        <v>602285593748050</v>
      </c>
      <c r="D128" t="str">
        <v>Dual Head USB Type-c8-in-1 Docking Station USB Hub C-type to 4K HDTV Adapter with 100M RJ45 * Card Reader Fast Charger, Suitable for MacBook Laptops and Windows Laptops</v>
      </c>
      <c r="E128">
        <v>4.21</v>
      </c>
      <c r="F128">
        <v>6.58</v>
      </c>
      <c r="G128">
        <v>36.02</v>
      </c>
      <c r="H128">
        <f>IF(E128="","",ROUND(E128*Resumen!$B$3,2))</f>
      </c>
      <c r="I128">
        <v>4.6</v>
      </c>
      <c r="J128">
        <v>125</v>
      </c>
      <c r="K128">
        <v>856</v>
      </c>
      <c r="L128" t="str">
        <v>856 sold</v>
      </c>
      <c r="M128" t="str">
        <v/>
      </c>
      <c r="N128" t="str">
        <v>https://img.kwcdn.com/local-goods-image/1fee583f80/14bf0c74-b66f-4e76-a811-8c021e97c3c0.jpeg</v>
      </c>
      <c r="O128" t="str">
        <v>https://www.temu.com/goods.html?goods_id=602285593748050</v>
      </c>
    </row>
    <row r="129">
      <c r="A129" t="str">
        <v>Computación</v>
      </c>
      <c r="B129" t="str">
        <v>usb hub</v>
      </c>
      <c r="C129" t="str">
        <v>601101707580769</v>
      </c>
      <c r="D129" t="str">
        <v>* TC94 USB-C 10in 1 Docking Station, Type-C Hub Compatible with Laptop PC &amp; Multiple Media Devices, 4K HDTV Video Output, USB-A 3.0 5* Fast Data Transfer, for Screen Expansion, * Entertainment &amp; * * *.</v>
      </c>
      <c r="E129">
        <v>28.86</v>
      </c>
      <c r="F129">
        <v>119.8</v>
      </c>
      <c r="G129">
        <v>75.91</v>
      </c>
      <c r="H129">
        <f>IF(E129="","",ROUND(E129*Resumen!$B$3,2))</f>
      </c>
      <c r="K129">
        <v>839</v>
      </c>
      <c r="L129" t="str">
        <v>839 sold</v>
      </c>
      <c r="M129" t="str">
        <v/>
      </c>
      <c r="N129" t="str">
        <v>https://img.kwcdn.com/product/fancy/78edf2d8-91f9-4077-ae86-e71e4db05186.jpg</v>
      </c>
      <c r="O129" t="str">
        <v>https://www.temu.com/goods.html?goods_id=601101707580769</v>
      </c>
    </row>
    <row r="130">
      <c r="A130" t="str">
        <v>Computación</v>
      </c>
      <c r="B130" t="str">
        <v>keyboard</v>
      </c>
      <c r="C130" t="str">
        <v>601099703329086</v>
      </c>
      <c r="D130" t="str">
        <v>Typewriter Mechanical Keyboard * Punk Gaming Laptop Office Wired Real Mechanical Keyboard * Gift</v>
      </c>
      <c r="E130">
        <v>29.85</v>
      </c>
      <c r="F130">
        <v>130.88</v>
      </c>
      <c r="G130">
        <v>77.19</v>
      </c>
      <c r="H130">
        <f>IF(E130="","",ROUND(E130*Resumen!$B$3,2))</f>
      </c>
      <c r="I130">
        <v>4.7</v>
      </c>
      <c r="J130">
        <v>110</v>
      </c>
      <c r="K130">
        <v>832</v>
      </c>
      <c r="L130" t="str">
        <v>832 sold</v>
      </c>
      <c r="M130" t="str">
        <v/>
      </c>
      <c r="N130" t="str">
        <v>https://img.kwcdn.com/product/fancy/ab08f5d9-0427-429e-b8a4-4e053666f1a1.jpg</v>
      </c>
      <c r="O130" t="str">
        <v>https://www.temu.com/goods.html?goods_id=601099703329086</v>
      </c>
    </row>
    <row r="131">
      <c r="A131" t="str">
        <v>Computación</v>
      </c>
      <c r="B131" t="str">
        <v>usb hub</v>
      </c>
      <c r="C131" t="str">
        <v>605648234359748</v>
      </c>
      <c r="D131" t="str">
        <v>* Circular 12 Port USB Hub (6 USB Ports+6 Type-C Ports) Supports up to 66W Fast Charging. Support Charging Multiple Devices to Solve the Problem of Insufficient Computer *. Compatible with All Small Charging Devices</v>
      </c>
      <c r="E131">
        <v>7.95</v>
      </c>
      <c r="F131">
        <v>11.12</v>
      </c>
      <c r="G131">
        <v>28.51</v>
      </c>
      <c r="H131">
        <f>IF(E131="","",ROUND(E131*Resumen!$B$3,2))</f>
      </c>
      <c r="I131">
        <v>5</v>
      </c>
      <c r="J131">
        <v>5</v>
      </c>
      <c r="K131">
        <v>759</v>
      </c>
      <c r="L131" t="str">
        <v>759 sold</v>
      </c>
      <c r="M131" t="str">
        <v/>
      </c>
      <c r="N131" t="str">
        <v>https://img.kwcdn.com/product/fancy/7960169a-bdce-4208-83e7-89aeff2d3f08.jpg</v>
      </c>
      <c r="O131" t="str">
        <v>https://www.temu.com/goods.html?goods_id=605648234359748</v>
      </c>
    </row>
    <row r="132">
      <c r="A132" t="str">
        <v>Computación</v>
      </c>
      <c r="B132" t="str">
        <v>wireless mouse</v>
      </c>
      <c r="C132" t="str">
        <v>601100044792290</v>
      </c>
      <c r="D132" t="str">
        <v>* Cordless Mouse with 2.4G Wireless Technology, Designed for Laptops And Desktops, Featuring * And an Ergonomic *, Complete with a USB Nano Receiver, * in BAT *</v>
      </c>
      <c r="E132">
        <v>2.98</v>
      </c>
      <c r="F132">
        <v>5.06</v>
      </c>
      <c r="G132">
        <v>41.11</v>
      </c>
      <c r="H132">
        <f>IF(E132="","",ROUND(E132*Resumen!$B$3,2))</f>
      </c>
      <c r="I132">
        <v>4.8</v>
      </c>
      <c r="J132">
        <v>110</v>
      </c>
      <c r="K132">
        <v>731</v>
      </c>
      <c r="L132" t="str">
        <v>731 sold</v>
      </c>
      <c r="M132" t="str">
        <v/>
      </c>
      <c r="N132" t="str">
        <v>https://img.kwcdn.com/product/fancy/f59a40c3-05c9-4ada-ac3a-a4fd18005840.jpg</v>
      </c>
      <c r="O132" t="str">
        <v>https://www.temu.com/goods.html?goods_id=601100044792290</v>
      </c>
    </row>
    <row r="133">
      <c r="A133" t="str">
        <v>Computación</v>
      </c>
      <c r="B133" t="str">
        <v>wireless mouse</v>
      </c>
      <c r="C133" t="str">
        <v>601105661557730</v>
      </c>
      <c r="D133" t="str">
        <v>Rechargeable Portable Silent Wireless Mouse - 2.4G BT 5.2 *, 393.7inch Stable Connection, RGB Glowing, USB to Type-C Adapter, *, * Windows *</v>
      </c>
      <c r="E133">
        <v>9.76</v>
      </c>
      <c r="F133">
        <v>48.48</v>
      </c>
      <c r="G133">
        <v>79.87</v>
      </c>
      <c r="H133">
        <f>IF(E133="","",ROUND(E133*Resumen!$B$3,2))</f>
      </c>
      <c r="I133">
        <v>4.8</v>
      </c>
      <c r="J133">
        <v>6</v>
      </c>
      <c r="K133">
        <v>718</v>
      </c>
      <c r="L133" t="str">
        <v>718 sold</v>
      </c>
      <c r="M133" t="str">
        <v/>
      </c>
      <c r="N133" t="str">
        <v>https://img.kwcdn.com/product/fancy/7aa4f5bd-cc8f-4b10-b48c-99b437760e3f.jpg</v>
      </c>
      <c r="O133" t="str">
        <v>https://www.temu.com/goods.html?goods_id=601105661557730</v>
      </c>
    </row>
    <row r="134">
      <c r="A134" t="str">
        <v>Computación</v>
      </c>
      <c r="B134" t="str">
        <v>usb hub</v>
      </c>
      <c r="C134" t="str">
        <v>605996076354728</v>
      </c>
      <c r="D134" t="str">
        <v>Portable USB Hub with 4/5 Ports | Multi-Device Charging Station | Integrated Type-C and USB * | * Charging Management | Ideal for Home and Office Use</v>
      </c>
      <c r="E134">
        <v>8.65</v>
      </c>
      <c r="F134">
        <v>9.9</v>
      </c>
      <c r="G134">
        <v>12.63</v>
      </c>
      <c r="H134">
        <f>IF(E134="","",ROUND(E134*Resumen!$B$3,2))</f>
      </c>
      <c r="I134">
        <v>4.7</v>
      </c>
      <c r="J134">
        <v>41</v>
      </c>
      <c r="K134">
        <v>686</v>
      </c>
      <c r="L134" t="str">
        <v>686 sold</v>
      </c>
      <c r="M134" t="str">
        <v/>
      </c>
      <c r="N134" t="str">
        <v>https://img.kwcdn.com/product/open/d05ad96dd2dc448886abc8758cc9c778-goods.jpeg</v>
      </c>
      <c r="O134" t="str">
        <v>https://www.temu.com/goods.html?goods_id=605996076354728</v>
      </c>
    </row>
    <row r="135">
      <c r="A135" t="str">
        <v>Computación</v>
      </c>
      <c r="B135" t="str">
        <v>usb hub</v>
      </c>
      <c r="C135" t="str">
        <v>606960397211604</v>
      </c>
      <c r="D135" t="str">
        <v>12-Port USB Fast Charging Extension Cord, 59.06inch Long Cable, Max 68W * Output, 6 Type-C PD &amp; 6 USB-A *, Sleek Minimalist *, Multi-Device Charging Hub Compatible with Laptops, Tablets, Smartphones And More</v>
      </c>
      <c r="E135">
        <v>5.36</v>
      </c>
      <c r="F135">
        <v>30.6</v>
      </c>
      <c r="G135">
        <v>82.48</v>
      </c>
      <c r="H135">
        <f>IF(E135="","",ROUND(E135*Resumen!$B$3,2))</f>
      </c>
      <c r="I135">
        <v>4.8</v>
      </c>
      <c r="J135">
        <v>79</v>
      </c>
      <c r="K135">
        <v>652</v>
      </c>
      <c r="L135" t="str">
        <v>652 sold</v>
      </c>
      <c r="M135" t="str">
        <v/>
      </c>
      <c r="N135" t="str">
        <v>https://img.kwcdn.com/product/open/a3400d8a0d414dd784a6e7dce6e89f13-goods.jpeg</v>
      </c>
      <c r="O135" t="str">
        <v>https://www.temu.com/goods.html?goods_id=606960397211604</v>
      </c>
    </row>
    <row r="136">
      <c r="A136" t="str">
        <v>Computación</v>
      </c>
      <c r="B136" t="str">
        <v>usb hub</v>
      </c>
      <c r="C136" t="str">
        <v>601101374434921</v>
      </c>
      <c r="D136" t="str">
        <v>* * USB 3. 2 Hub, 10* * Adapter with Dual USB-C 3. 2, Dual USB-A 3. 2, and *, Compatible with */Air, for iPad Pro, for iPhone * Pro Max, Surface, PC, Laptops</v>
      </c>
      <c r="E136">
        <v>18.71</v>
      </c>
      <c r="H136">
        <f>IF(E136="","",ROUND(E136*Resumen!$B$3,2))</f>
      </c>
      <c r="I136">
        <v>4.9</v>
      </c>
      <c r="J136">
        <v>11</v>
      </c>
      <c r="K136">
        <v>596</v>
      </c>
      <c r="L136" t="str">
        <v>596 sold</v>
      </c>
      <c r="M136" t="str">
        <v/>
      </c>
      <c r="N136" t="str">
        <v>https://img.kwcdn.com/product/fancy/6cfacca8-974c-4421-af41-98581eaf4f9e.jpg</v>
      </c>
      <c r="O136" t="str">
        <v>https://www.temu.com/goods.html?goods_id=601101374434921</v>
      </c>
    </row>
    <row r="137">
      <c r="A137" t="str">
        <v>Computación</v>
      </c>
      <c r="B137" t="str">
        <v>keyboard</v>
      </c>
      <c r="C137" t="str">
        <v>606092377594826</v>
      </c>
      <c r="D137" t="str">
        <v>Ultra-Thin Mini Wireless Wireless Keyboard: A 78-key, *, And Compact Wireless Keyboard Featuring BT *. Compatible With Multiple Operating Systems Including *, Windows, And IOS It Supports Seamless Switching Between Platform</v>
      </c>
      <c r="E137">
        <v>9.26</v>
      </c>
      <c r="F137">
        <v>57.14</v>
      </c>
      <c r="G137">
        <v>83.79</v>
      </c>
      <c r="H137">
        <f>IF(E137="","",ROUND(E137*Resumen!$B$3,2))</f>
      </c>
      <c r="I137">
        <v>4.7</v>
      </c>
      <c r="J137">
        <v>94</v>
      </c>
      <c r="K137">
        <v>577</v>
      </c>
      <c r="L137" t="str">
        <v>577 sold</v>
      </c>
      <c r="M137" t="str">
        <v/>
      </c>
      <c r="N137" t="str">
        <v>https://img.kwcdn.com/product/fancy/6683658f-a936-492b-a41c-42ea28c34305.jpg</v>
      </c>
      <c r="O137" t="str">
        <v>https://www.temu.com/goods.html?goods_id=606092377594826</v>
      </c>
    </row>
    <row r="138">
      <c r="A138" t="str">
        <v>Computación</v>
      </c>
      <c r="B138" t="str">
        <v>usb hub</v>
      </c>
      <c r="C138" t="str">
        <v>601104226225421</v>
      </c>
      <c r="D138" t="str">
        <v>USB Hub 3.0 7-Port Aluminum USB Hub, USB Splitter, USB Extender, Suitable for Laptops, Pcs, Macbook, * Pro, * Mini, *, Surface Pro, *, Printers, Cameras, Etc</v>
      </c>
      <c r="E138">
        <v>6.77</v>
      </c>
      <c r="F138">
        <v>7.87</v>
      </c>
      <c r="G138">
        <v>13.98</v>
      </c>
      <c r="H138">
        <f>IF(E138="","",ROUND(E138*Resumen!$B$3,2))</f>
      </c>
      <c r="I138">
        <v>4.6</v>
      </c>
      <c r="J138">
        <v>11</v>
      </c>
      <c r="K138">
        <v>561</v>
      </c>
      <c r="L138" t="str">
        <v>561 sold</v>
      </c>
      <c r="M138" t="str">
        <v/>
      </c>
      <c r="N138" t="str">
        <v>https://img.kwcdn.com/product/fancy/1b3e0cb7-7864-42b1-b93d-afdd3ed4b324.jpg</v>
      </c>
      <c r="O138" t="str">
        <v>https://www.temu.com/goods.html?goods_id=601104226225421</v>
      </c>
    </row>
    <row r="139">
      <c r="A139" t="str">
        <v>Computación</v>
      </c>
      <c r="B139" t="str">
        <v>usb hub</v>
      </c>
      <c r="C139" t="str">
        <v>601101721524285</v>
      </c>
      <c r="D139" t="str">
        <v>A Multifunctional USB-C Hub With 8 Ports That Supports 4K HDTV Output, *3937.01 Inch RJ45 Port, SD/TF Card Reader And Fast Charger, Compatible With MacBook And MacbookWindows Laptop.</v>
      </c>
      <c r="E139">
        <v>5.32</v>
      </c>
      <c r="F139">
        <v>49.82</v>
      </c>
      <c r="G139">
        <v>89.32</v>
      </c>
      <c r="H139">
        <f>IF(E139="","",ROUND(E139*Resumen!$B$3,2))</f>
      </c>
      <c r="I139">
        <v>4.8</v>
      </c>
      <c r="J139">
        <v>34</v>
      </c>
      <c r="K139">
        <v>546</v>
      </c>
      <c r="L139" t="str">
        <v>546 sold</v>
      </c>
      <c r="M139" t="str">
        <v/>
      </c>
      <c r="N139" t="str">
        <v>https://img.kwcdn.com/product/fancy/7c22635a-c240-449e-bf5b-b71b6e90c5aa.jpg</v>
      </c>
      <c r="O139" t="str">
        <v>https://www.temu.com/goods.html?goods_id=601101721524285</v>
      </c>
    </row>
    <row r="140">
      <c r="A140" t="str">
        <v>Computación</v>
      </c>
      <c r="B140" t="str">
        <v>wireless mouse</v>
      </c>
      <c r="C140" t="str">
        <v>601104586581739</v>
      </c>
      <c r="D140" t="str">
        <v>Wireless Bluetooth Mouse for iPad/*/Air/Laptop/PC Rechargeable Silent Mouse Portable Ultra-thin Compatible with Surface Pro/*/Samsung Tablets</v>
      </c>
      <c r="E140">
        <v>3.39</v>
      </c>
      <c r="F140">
        <v>29.43</v>
      </c>
      <c r="G140">
        <v>88.48</v>
      </c>
      <c r="H140">
        <f>IF(E140="","",ROUND(E140*Resumen!$B$3,2))</f>
      </c>
      <c r="I140">
        <v>4.8</v>
      </c>
      <c r="J140">
        <v>58</v>
      </c>
      <c r="K140">
        <v>543</v>
      </c>
      <c r="L140" t="str">
        <v>543 sold</v>
      </c>
      <c r="M140" t="str">
        <v/>
      </c>
      <c r="N140" t="str">
        <v>https://img.kwcdn.com/product/fancy/42aa4d14-ed90-4108-8ead-676ea4fd2285.jpg</v>
      </c>
      <c r="O140" t="str">
        <v>https://www.temu.com/goods.html?goods_id=601104586581739</v>
      </c>
    </row>
    <row r="141">
      <c r="A141" t="str">
        <v>Computación</v>
      </c>
      <c r="B141" t="str">
        <v>wireless mouse</v>
      </c>
      <c r="C141" t="str">
        <v>606412402954294</v>
      </c>
      <c r="D141" t="str">
        <v>Black/Red Wireless Gaming Mouse, - Portable Wireless Mouse *- for * Laptop Desktop * * Laptop, Notebook, Computer Send Mouse Pad</v>
      </c>
      <c r="E141">
        <v>4.94</v>
      </c>
      <c r="F141">
        <v>24.99</v>
      </c>
      <c r="G141">
        <v>80.23</v>
      </c>
      <c r="H141">
        <f>IF(E141="","",ROUND(E141*Resumen!$B$3,2))</f>
      </c>
      <c r="I141">
        <v>4.7</v>
      </c>
      <c r="J141">
        <v>69</v>
      </c>
      <c r="K141">
        <v>513</v>
      </c>
      <c r="L141" t="str">
        <v>513 sold</v>
      </c>
      <c r="M141" t="str">
        <v/>
      </c>
      <c r="N141" t="str">
        <v>https://img.kwcdn.com/product/open/d9cbf2abca6049e2ba0d187b7e060d08-goods.jpeg</v>
      </c>
      <c r="O141" t="str">
        <v>https://www.temu.com/goods.html?goods_id=606412402954294</v>
      </c>
    </row>
    <row r="142">
      <c r="A142" t="str">
        <v>Computación</v>
      </c>
      <c r="B142" t="str">
        <v>keyboard</v>
      </c>
      <c r="C142" t="str">
        <v>601099754120638</v>
      </c>
      <c r="D142" t="str">
        <v>* 60% Wired Gaming Keyboard, RGB Backlit Ultra-* Keyboard, Small Compact 61-Key Keyboard For PC/* *, Typists, Travel For Wired Use Only (Orange And Cream)</v>
      </c>
      <c r="E142">
        <v>12.56</v>
      </c>
      <c r="F142">
        <v>88.46</v>
      </c>
      <c r="G142">
        <v>85.8</v>
      </c>
      <c r="H142">
        <f>IF(E142="","",ROUND(E142*Resumen!$B$3,2))</f>
      </c>
      <c r="I142">
        <v>4.6</v>
      </c>
      <c r="J142">
        <v>90</v>
      </c>
      <c r="K142">
        <v>504</v>
      </c>
      <c r="L142" t="str">
        <v>504 sold</v>
      </c>
      <c r="M142" t="str">
        <v/>
      </c>
      <c r="N142" t="str">
        <v>https://img.kwcdn.com/product/fancy/80897dd3-18df-4516-9fa5-eab9767811df.jpg</v>
      </c>
      <c r="O142" t="str">
        <v>https://www.temu.com/goods.html?goods_id=601099754120638</v>
      </c>
    </row>
    <row r="143">
      <c r="A143" t="str">
        <v>Computación</v>
      </c>
      <c r="B143" t="str">
        <v>keyboard</v>
      </c>
      <c r="C143" t="str">
        <v>606234564505341</v>
      </c>
      <c r="D143" t="str">
        <v>61-Key Portable Electronic Keyboard Piano with Microphone &amp; USB Power - * Suitable for * Beginners, Full-Size Keys, USB-Powered Suitable for *, Travel, Recording, Keyboard for Home,,</v>
      </c>
      <c r="E143">
        <v>23.22</v>
      </c>
      <c r="F143">
        <v>168.11</v>
      </c>
      <c r="G143">
        <v>86.19</v>
      </c>
      <c r="H143">
        <f>IF(E143="","",ROUND(E143*Resumen!$B$3,2))</f>
      </c>
      <c r="I143">
        <v>4.2</v>
      </c>
      <c r="J143">
        <v>46</v>
      </c>
      <c r="K143">
        <v>501</v>
      </c>
      <c r="L143" t="str">
        <v>501 sold</v>
      </c>
      <c r="M143" t="str">
        <v>Posible teclado musical (no de PC)</v>
      </c>
      <c r="N143" t="str">
        <v>https://img.kwcdn.com/product/fancy/83823e51-681b-4083-8238-763c542217a8.jpg</v>
      </c>
      <c r="O143" t="str">
        <v>https://www.temu.com/goods.html?goods_id=606234564505341</v>
      </c>
    </row>
    <row r="144">
      <c r="A144" t="str">
        <v>Computación</v>
      </c>
      <c r="B144" t="str">
        <v>keyboard</v>
      </c>
      <c r="C144" t="str">
        <v>601101129608912</v>
      </c>
      <c r="D144" t="str">
        <v>Wired Mechanical Keyboard, 61 Keys RGB Backlit. Ultra-* Gaming Keyboard for PC Computer *. Multiple Colors &amp; Styles *</v>
      </c>
      <c r="E144">
        <v>12.68</v>
      </c>
      <c r="F144">
        <v>66.58</v>
      </c>
      <c r="G144">
        <v>80.96</v>
      </c>
      <c r="H144">
        <f>IF(E144="","",ROUND(E144*Resumen!$B$3,2))</f>
      </c>
      <c r="I144">
        <v>4.8</v>
      </c>
      <c r="J144">
        <v>68</v>
      </c>
      <c r="K144">
        <v>490</v>
      </c>
      <c r="L144" t="str">
        <v>490 sold</v>
      </c>
      <c r="M144" t="str">
        <v/>
      </c>
      <c r="N144" t="str">
        <v>https://img.kwcdn.com/product/fancy/5dd9d5ce-8438-48a6-895d-716e7a1968c8.jpg</v>
      </c>
      <c r="O144" t="str">
        <v>https://www.temu.com/goods.html?goods_id=601101129608912</v>
      </c>
    </row>
    <row r="145">
      <c r="A145" t="str">
        <v>Computación</v>
      </c>
      <c r="B145" t="str">
        <v>keyboard</v>
      </c>
      <c r="C145" t="str">
        <v>601099669236459</v>
      </c>
      <c r="D145" t="str">
        <v>* * X85 Wireless Gaming Keyboard With Knob Hot Swappable 75% Mechanical Keyboard Wireless/2.4GHz/USB-C Side Print Keycaps Gasket RGB Coiled Cable Linear White Jade Switch</v>
      </c>
      <c r="E145">
        <v>43.13</v>
      </c>
      <c r="F145">
        <v>259.42</v>
      </c>
      <c r="G145">
        <v>83.37</v>
      </c>
      <c r="H145">
        <f>IF(E145="","",ROUND(E145*Resumen!$B$3,2))</f>
      </c>
      <c r="I145">
        <v>4.9</v>
      </c>
      <c r="J145">
        <v>86</v>
      </c>
      <c r="K145">
        <v>489</v>
      </c>
      <c r="L145" t="str">
        <v>489 sold</v>
      </c>
      <c r="M145" t="str">
        <v/>
      </c>
      <c r="N145" t="str">
        <v>https://img.kwcdn.com/product/fancy/238d6f48-2eac-487a-b90b-352c12383c22.jpg</v>
      </c>
      <c r="O145" t="str">
        <v>https://www.temu.com/goods.html?goods_id=601099669236459</v>
      </c>
    </row>
    <row r="146">
      <c r="A146" t="str">
        <v>Computación</v>
      </c>
      <c r="B146" t="str">
        <v>usb hub</v>
      </c>
      <c r="C146" t="str">
        <v>601103108025606</v>
      </c>
      <c r="D146" t="str">
        <v>iPad &amp; Phone Rotating Stand Docking Station | 4K *, Gigabit Ethernet, USB Hub | * Office for iPad Pro/Phone</v>
      </c>
      <c r="E146">
        <v>54.41</v>
      </c>
      <c r="F146">
        <v>150.82</v>
      </c>
      <c r="G146">
        <v>63.92</v>
      </c>
      <c r="H146">
        <f>IF(E146="","",ROUND(E146*Resumen!$B$3,2))</f>
      </c>
      <c r="I146">
        <v>4.7</v>
      </c>
      <c r="J146">
        <v>46</v>
      </c>
      <c r="K146">
        <v>487</v>
      </c>
      <c r="L146" t="str">
        <v>487 sold</v>
      </c>
      <c r="M146" t="str">
        <v/>
      </c>
      <c r="N146" t="str">
        <v>https://img.kwcdn.com/product/fancy/18e364c8-b3b4-44d4-9b27-f98532a4af73.jpg</v>
      </c>
      <c r="O146" t="str">
        <v>https://www.temu.com/goods.html?goods_id=601103108025606</v>
      </c>
    </row>
    <row r="147">
      <c r="A147" t="str">
        <v>Computación</v>
      </c>
      <c r="B147" t="str">
        <v>usb hub</v>
      </c>
      <c r="C147" t="str">
        <v>606222753311214</v>
      </c>
      <c r="D147" t="str">
        <v>4-Port USB 2.0 Hub, * Docking Station, * USB Splitter, Portable Data Transfer Expander for Laptops, Desktop Computers, External USB Drives, Mice, Keyboards, and Printers</v>
      </c>
      <c r="E147">
        <v>3.77</v>
      </c>
      <c r="F147">
        <v>35.86</v>
      </c>
      <c r="G147">
        <v>89.49</v>
      </c>
      <c r="H147">
        <f>IF(E147="","",ROUND(E147*Resumen!$B$3,2))</f>
      </c>
      <c r="I147">
        <v>4.8</v>
      </c>
      <c r="J147">
        <v>17</v>
      </c>
      <c r="K147">
        <v>480</v>
      </c>
      <c r="L147" t="str">
        <v>480 sold</v>
      </c>
      <c r="M147" t="str">
        <v/>
      </c>
      <c r="N147" t="str">
        <v>https://img.kwcdn.com/product/fancy/c6726dfe-c014-4cf2-884b-1ced9fa4c057.jpg</v>
      </c>
      <c r="O147" t="str">
        <v>https://www.temu.com/goods.html?goods_id=606222753311214</v>
      </c>
    </row>
    <row r="148">
      <c r="A148" t="str">
        <v>Computación</v>
      </c>
      <c r="B148" t="str">
        <v>usb hub</v>
      </c>
      <c r="C148" t="str">
        <v>605504420058070</v>
      </c>
      <c r="D148" t="str">
        <v>* Moon Print USB 2.0 Hub, * Portable * Docking Station with 4 USB Ports And Type-C 5V1A Power Input, Compact Data Expansion Hub Compatible with Windows * * Ios, for Student Dorm, Home Office, Travel, Graduation</v>
      </c>
      <c r="E148">
        <v>14.19</v>
      </c>
      <c r="H148">
        <f>IF(E148="","",ROUND(E148*Resumen!$B$3,2))</f>
      </c>
      <c r="I148">
        <v>5</v>
      </c>
      <c r="J148">
        <v>9</v>
      </c>
      <c r="K148">
        <v>472</v>
      </c>
      <c r="L148" t="str">
        <v>472 sold</v>
      </c>
      <c r="M148" t="str">
        <v/>
      </c>
      <c r="N148" t="str">
        <v>https://img.kwcdn.com/product/fancy/75a3a2be-39af-4fb0-a114-c53dff9cf6a3.jpg</v>
      </c>
      <c r="O148" t="str">
        <v>https://www.temu.com/goods.html?goods_id=605504420058070</v>
      </c>
    </row>
    <row r="149">
      <c r="A149" t="str">
        <v>Computación</v>
      </c>
      <c r="B149" t="str">
        <v>usb hub</v>
      </c>
      <c r="C149" t="str">
        <v>606166969085879</v>
      </c>
      <c r="D149" t="str">
        <v>11.81inch USB 3.0 Aluminum Alloy Shell 4-Port USB A Hub, USB Splitter, Ultra-Thin Lightweight Mini USB Aluminum Alloy Expander with Power Indicator Light, 4 * Ports for * Use, 5* Fast Transfer for Videos, Photos, Large Files</v>
      </c>
      <c r="E149">
        <v>4.55</v>
      </c>
      <c r="F149">
        <v>18.91</v>
      </c>
      <c r="G149">
        <v>75.94</v>
      </c>
      <c r="H149">
        <f>IF(E149="","",ROUND(E149*Resumen!$B$3,2))</f>
      </c>
      <c r="I149">
        <v>3.7</v>
      </c>
      <c r="J149">
        <v>3</v>
      </c>
      <c r="K149">
        <v>452</v>
      </c>
      <c r="L149" t="str">
        <v>452 sold</v>
      </c>
      <c r="M149" t="str">
        <v/>
      </c>
      <c r="N149" t="str">
        <v>https://img.kwcdn.com/product/fancy/6bc28342-7b7e-41c2-ac22-d7e0dfaf0dac.jpg</v>
      </c>
      <c r="O149" t="str">
        <v>https://www.temu.com/goods.html?goods_id=606166969085879</v>
      </c>
    </row>
    <row r="150">
      <c r="A150" t="str">
        <v>Computación</v>
      </c>
      <c r="B150" t="str">
        <v>usb hub</v>
      </c>
      <c r="C150" t="str">
        <v>605767772025705</v>
      </c>
      <c r="D150" t="str">
        <v>10-Port Fast Charger, Multi-Functional Home-* Gan4 Charger with Multiple Ports (USB, Type-C, *.), 1000W/635W, 10-Port Fast Charging Hub with Multiple Output Power Levels, Compatible with Laptops, Ipad, And Iphone, Model YMX-635W, YMX-635W</v>
      </c>
      <c r="E150">
        <v>34.6</v>
      </c>
      <c r="F150">
        <v>79.99</v>
      </c>
      <c r="G150">
        <v>56.74</v>
      </c>
      <c r="H150">
        <f>IF(E150="","",ROUND(E150*Resumen!$B$3,2))</f>
      </c>
      <c r="I150">
        <v>4.6</v>
      </c>
      <c r="J150">
        <v>39</v>
      </c>
      <c r="K150">
        <v>446</v>
      </c>
      <c r="L150" t="str">
        <v>446 sold</v>
      </c>
      <c r="M150" t="str">
        <v/>
      </c>
      <c r="N150" t="str">
        <v>https://img.kwcdn.com/product/fancy/b515747f-3e55-484f-8a8b-38e9c631893c.jpg</v>
      </c>
      <c r="O150" t="str">
        <v>https://www.temu.com/goods.html?goods_id=605767772025705</v>
      </c>
    </row>
    <row r="151">
      <c r="A151" t="str">
        <v>Computación</v>
      </c>
      <c r="B151" t="str">
        <v>keyboard</v>
      </c>
      <c r="C151" t="str">
        <v>601099654673083</v>
      </c>
      <c r="D151" t="str">
        <v>61-Key Electronic Keyboard with LED Lights, Z-Shaped Stand, and *, GEP-110 BD-663D</v>
      </c>
      <c r="E151">
        <v>66.62</v>
      </c>
      <c r="F151">
        <v>127.46</v>
      </c>
      <c r="G151">
        <v>47.73</v>
      </c>
      <c r="H151">
        <f>IF(E151="","",ROUND(E151*Resumen!$B$3,2))</f>
      </c>
      <c r="I151">
        <v>4.7</v>
      </c>
      <c r="J151">
        <v>58</v>
      </c>
      <c r="K151">
        <v>445</v>
      </c>
      <c r="L151" t="str">
        <v>445 sold</v>
      </c>
      <c r="M151" t="str">
        <v>Posible teclado musical (no de PC)</v>
      </c>
      <c r="N151" t="str">
        <v>https://img.kwcdn.com/product/open/2024-08-30/1725009877098-7f1352d406794e2fae39e7c01cfc7ea8-goods.jpeg</v>
      </c>
      <c r="O151" t="str">
        <v>https://www.temu.com/goods.html?goods_id=601099654673083</v>
      </c>
    </row>
    <row r="152">
      <c r="A152" t="str">
        <v>Computación</v>
      </c>
      <c r="B152" t="str">
        <v>wireless mouse</v>
      </c>
      <c r="C152" t="str">
        <v>601105351422200</v>
      </c>
      <c r="D152" t="str">
        <v>Wireless Mouse Car Computer Mouse for PC Laptop</v>
      </c>
      <c r="E152">
        <v>10.16</v>
      </c>
      <c r="F152">
        <v>63.96</v>
      </c>
      <c r="G152">
        <v>84.12</v>
      </c>
      <c r="H152">
        <f>IF(E152="","",ROUND(E152*Resumen!$B$3,2))</f>
      </c>
      <c r="I152">
        <v>4.8</v>
      </c>
      <c r="J152">
        <v>71</v>
      </c>
      <c r="K152">
        <v>441</v>
      </c>
      <c r="L152" t="str">
        <v>441 sold</v>
      </c>
      <c r="M152" t="str">
        <v/>
      </c>
      <c r="N152" t="str">
        <v>https://img.kwcdn.com/product/fancy/f3b60601-5818-40e6-b632-3fef241d2f55.jpg</v>
      </c>
      <c r="O152" t="str">
        <v>https://www.temu.com/goods.html?goods_id=601105351422200</v>
      </c>
    </row>
    <row r="153">
      <c r="A153" t="str">
        <v>Computación</v>
      </c>
      <c r="B153" t="str">
        <v>usb hub</v>
      </c>
      <c r="C153" t="str">
        <v>605881303405488</v>
      </c>
      <c r="D153" t="str">
        <v>2pcs USB Hub 3.0/2.0 with Switchable Ports, 4-Port USB Splitter Power Adapter &amp; Expander Suitable for PC, Laptop, Smartphones, Tablets, Cameras, External Drives - USB- Device Hub for Computer Accessories</v>
      </c>
      <c r="E153">
        <v>4.85</v>
      </c>
      <c r="F153">
        <v>23.29</v>
      </c>
      <c r="G153">
        <v>79.18</v>
      </c>
      <c r="H153">
        <f>IF(E153="","",ROUND(E153*Resumen!$B$3,2))</f>
      </c>
      <c r="I153">
        <v>4.6</v>
      </c>
      <c r="J153">
        <v>60</v>
      </c>
      <c r="K153">
        <v>441</v>
      </c>
      <c r="L153" t="str">
        <v>441 sold</v>
      </c>
      <c r="M153" t="str">
        <v/>
      </c>
      <c r="N153" t="str">
        <v>https://img.kwcdn.com/product/fancy/5579400b-ab53-4c0f-8dd1-f027846a827f.jpg</v>
      </c>
      <c r="O153" t="str">
        <v>https://www.temu.com/goods.html?goods_id=605881303405488</v>
      </c>
    </row>
    <row r="154">
      <c r="A154" t="str">
        <v>Computación</v>
      </c>
      <c r="B154" t="str">
        <v>usb hub</v>
      </c>
      <c r="C154" t="str">
        <v>605881169202440</v>
      </c>
      <c r="D154" t="str">
        <v>2 Pack 24 Ports PD Fast Charging Station, Dual 12 Port Desktop USB Charger Hub with Fast Charge USB-A &amp; Type-C Ports, Multi-Device Power Strip for Laptop * Office Use</v>
      </c>
      <c r="E154">
        <v>7.56</v>
      </c>
      <c r="F154">
        <v>17.82</v>
      </c>
      <c r="G154">
        <v>57.58</v>
      </c>
      <c r="H154">
        <f>IF(E154="","",ROUND(E154*Resumen!$B$3,2))</f>
      </c>
      <c r="I154">
        <v>4.9</v>
      </c>
      <c r="J154">
        <v>22</v>
      </c>
      <c r="K154">
        <v>429</v>
      </c>
      <c r="L154" t="str">
        <v>429 sold</v>
      </c>
      <c r="M154" t="str">
        <v/>
      </c>
      <c r="N154" t="str">
        <v>https://img.kwcdn.com/product/fancy/100cf041-d518-441f-accf-6f40d6175b9f.jpg</v>
      </c>
      <c r="O154" t="str">
        <v>https://www.temu.com/goods.html?goods_id=605881169202440</v>
      </c>
    </row>
    <row r="155">
      <c r="A155" t="str">
        <v>Computación</v>
      </c>
      <c r="B155" t="str">
        <v>keyboard</v>
      </c>
      <c r="C155" t="str">
        <v>601103237759412</v>
      </c>
      <c r="D155" t="str">
        <v>* PC Gaming Keyboard, Mechanical Keyboard with RGB *, Black Keyboard, 8000Hz * Rate, * Low Latency Keyboard, Supports * Setup, USB-*, Wired Keyboard, *</v>
      </c>
      <c r="E155">
        <v>49.32</v>
      </c>
      <c r="F155">
        <v>102.02</v>
      </c>
      <c r="G155">
        <v>51.66</v>
      </c>
      <c r="H155">
        <f>IF(E155="","",ROUND(E155*Resumen!$B$3,2))</f>
      </c>
      <c r="K155">
        <v>428</v>
      </c>
      <c r="L155" t="str">
        <v>428 sold</v>
      </c>
      <c r="M155" t="str">
        <v/>
      </c>
      <c r="N155" t="str">
        <v>https://img.kwcdn.com/product/fancy/4dd9ab91-1cae-4949-b8af-d74c87d23545.jpg</v>
      </c>
      <c r="O155" t="str">
        <v>https://www.temu.com/goods.html?goods_id=601103237759412</v>
      </c>
    </row>
    <row r="156">
      <c r="A156" t="str">
        <v>Computación</v>
      </c>
      <c r="B156" t="str">
        <v>usb hub</v>
      </c>
      <c r="C156" t="str">
        <v>605771127483406</v>
      </c>
      <c r="D156" t="str">
        <v>4-Port USB 3. 0 Hub with Individual * Switches | *, Portable Design, 2 Ft Cable, Fast Data Transfer, Compatible with * &amp; PC</v>
      </c>
      <c r="E156">
        <v>2.45</v>
      </c>
      <c r="F156">
        <v>21.52</v>
      </c>
      <c r="G156">
        <v>88.62</v>
      </c>
      <c r="H156">
        <f>IF(E156="","",ROUND(E156*Resumen!$B$3,2))</f>
      </c>
      <c r="I156">
        <v>4.7</v>
      </c>
      <c r="J156">
        <v>30</v>
      </c>
      <c r="K156">
        <v>414</v>
      </c>
      <c r="L156" t="str">
        <v>414 sold</v>
      </c>
      <c r="M156" t="str">
        <v/>
      </c>
      <c r="N156" t="str">
        <v>https://img.kwcdn.com/product/fancy/69f7ebc3-211d-45fb-bf16-1ad725ecbb56.jpg</v>
      </c>
      <c r="O156" t="str">
        <v>https://www.temu.com/goods.html?goods_id=605771127483406</v>
      </c>
    </row>
    <row r="157">
      <c r="A157" t="str">
        <v>Computación</v>
      </c>
      <c r="B157" t="str">
        <v>keyboard</v>
      </c>
      <c r="C157" t="str">
        <v>605865146980867</v>
      </c>
      <c r="D157" t="str">
        <v>* NK68 V2 Wired Mechanical Keyboard * Suitable for PC, - Hot-Swap Color Backlit Keyboard with 68-Key Compact Layout, Included for PC Gaming &amp; Typing, Compatible for Computer Desk Setup</v>
      </c>
      <c r="E157">
        <v>25.6</v>
      </c>
      <c r="F157">
        <v>121.7</v>
      </c>
      <c r="G157">
        <v>78.96</v>
      </c>
      <c r="H157">
        <f>IF(E157="","",ROUND(E157*Resumen!$B$3,2))</f>
      </c>
      <c r="I157">
        <v>4.8</v>
      </c>
      <c r="J157">
        <v>51</v>
      </c>
      <c r="K157">
        <v>406</v>
      </c>
      <c r="L157" t="str">
        <v>406 sold</v>
      </c>
      <c r="M157" t="str">
        <v/>
      </c>
      <c r="N157" t="str">
        <v>https://img.kwcdn.com/product/fancy/a1ae7c84-24de-4198-8528-beb1700ad4e7.jpg</v>
      </c>
      <c r="O157" t="str">
        <v>https://www.temu.com/goods.html?goods_id=605865146980867</v>
      </c>
    </row>
    <row r="158">
      <c r="A158" t="str">
        <v>Computación</v>
      </c>
      <c r="B158" t="str">
        <v>usb hub</v>
      </c>
      <c r="C158" t="str">
        <v>606416916062454</v>
      </c>
      <c r="D158" t="str">
        <v>Kodak 6-in-1 USB Type-C to HDTV Adapter Hub, 4K@*, PD Fast Charging, USB 3.0, TF/SD Card Reader, * Converter for MacBook Laptop</v>
      </c>
      <c r="E158">
        <v>12.81</v>
      </c>
      <c r="F158">
        <v>32.73</v>
      </c>
      <c r="G158">
        <v>60.86</v>
      </c>
      <c r="H158">
        <f>IF(E158="","",ROUND(E158*Resumen!$B$3,2))</f>
      </c>
      <c r="I158">
        <v>5</v>
      </c>
      <c r="J158">
        <v>5</v>
      </c>
      <c r="K158">
        <v>388</v>
      </c>
      <c r="L158" t="str">
        <v>388 sold</v>
      </c>
      <c r="M158" t="str">
        <v/>
      </c>
      <c r="N158" t="str">
        <v>https://img.kwcdn.com/product/fancy/d777d48e-fed0-4976-b7cd-6b79a5f29cef.jpg</v>
      </c>
      <c r="O158" t="str">
        <v>https://www.temu.com/goods.html?goods_id=606416916062454</v>
      </c>
    </row>
    <row r="159">
      <c r="A159" t="str">
        <v>Computación</v>
      </c>
      <c r="B159" t="str">
        <v>usb hub</v>
      </c>
      <c r="C159" t="str">
        <v>606654380791951</v>
      </c>
      <c r="D159" t="str">
        <v>Clip-On * USB Hub, 6 USB-* PD Type-C Fast Charging * Adapters, 39.37-Inch Long Cable Desk Clip-On USB Extender, Portable USB Docking Station for Laptops And Tablets, * Charging Station for Home Office, Travel</v>
      </c>
      <c r="E159">
        <v>10.68</v>
      </c>
      <c r="F159">
        <v>23.97</v>
      </c>
      <c r="G159">
        <v>55.44</v>
      </c>
      <c r="H159">
        <f>IF(E159="","",ROUND(E159*Resumen!$B$3,2))</f>
      </c>
      <c r="I159">
        <v>5</v>
      </c>
      <c r="J159">
        <v>4</v>
      </c>
      <c r="K159">
        <v>368</v>
      </c>
      <c r="L159" t="str">
        <v>368 sold</v>
      </c>
      <c r="M159" t="str">
        <v/>
      </c>
      <c r="N159" t="str">
        <v>https://img.kwcdn.com/product/open/ad596dc499654341baabbf748e8a34b6-goods.jpeg</v>
      </c>
      <c r="O159" t="str">
        <v>https://www.temu.com/goods.html?goods_id=606654380791951</v>
      </c>
    </row>
    <row r="160">
      <c r="A160" t="str">
        <v>Computación</v>
      </c>
      <c r="B160" t="str">
        <v>keyboard</v>
      </c>
      <c r="C160" t="str">
        <v>601102226761828</v>
      </c>
      <c r="D160" t="str">
        <v>* Typewriter Style Mechanical Gaming Keyboard Compatible for Windows/*/PC - Wired - 104-Key Backlit RGB/Lit Keyboard with * Knob, Pink Switch (for PC/Green Keycaps)</v>
      </c>
      <c r="E160">
        <v>31.23</v>
      </c>
      <c r="F160">
        <v>215.9</v>
      </c>
      <c r="G160">
        <v>85.53</v>
      </c>
      <c r="H160">
        <f>IF(E160="","",ROUND(E160*Resumen!$B$3,2))</f>
      </c>
      <c r="I160">
        <v>4.7</v>
      </c>
      <c r="J160">
        <v>48</v>
      </c>
      <c r="K160">
        <v>366</v>
      </c>
      <c r="L160" t="str">
        <v>366 sold</v>
      </c>
      <c r="M160" t="str">
        <v/>
      </c>
      <c r="N160" t="str">
        <v>https://img.kwcdn.com/product/fancy/20ed8215-d687-4e20-8ec7-f39c33d33834.jpg</v>
      </c>
      <c r="O160" t="str">
        <v>https://www.temu.com/goods.html?goods_id=601102226761828</v>
      </c>
    </row>
    <row r="161">
      <c r="A161" t="str">
        <v>Computación</v>
      </c>
      <c r="B161" t="str">
        <v>usb hub</v>
      </c>
      <c r="C161" t="str">
        <v>601100250517646</v>
      </c>
      <c r="D161" t="str">
        <v>4/7 Ports LED USB 2.0 Adapter Hub Power * Switch</v>
      </c>
      <c r="E161">
        <v>3.47</v>
      </c>
      <c r="F161">
        <v>7.01</v>
      </c>
      <c r="G161">
        <v>50.5</v>
      </c>
      <c r="H161">
        <f>IF(E161="","",ROUND(E161*Resumen!$B$3,2))</f>
      </c>
      <c r="I161">
        <v>3.8</v>
      </c>
      <c r="J161">
        <v>5</v>
      </c>
      <c r="K161">
        <v>364</v>
      </c>
      <c r="L161" t="str">
        <v>364 sold</v>
      </c>
      <c r="M161" t="str">
        <v/>
      </c>
      <c r="N161" t="str">
        <v>https://img.kwcdn.com/product/fancy/901d942e-08a1-4743-a6b2-595dbad30da0.jpg</v>
      </c>
      <c r="O161" t="str">
        <v>https://www.temu.com/goods.html?goods_id=601100250517646</v>
      </c>
    </row>
    <row r="162">
      <c r="A162" t="str">
        <v>Computación</v>
      </c>
      <c r="B162" t="str">
        <v>usb hub</v>
      </c>
      <c r="C162" t="str">
        <v>606306773660617</v>
      </c>
      <c r="D162" t="str">
        <v>* USB 2.0 Splitter Hub 4-Port And 7-Port 2pcs, Independent Switches with Indicator Lights, *, Suitable for Phones, Tablets, Laptops, Black And White *</v>
      </c>
      <c r="E162">
        <v>5.29</v>
      </c>
      <c r="F162">
        <v>11.1</v>
      </c>
      <c r="G162">
        <v>52.34</v>
      </c>
      <c r="H162">
        <f>IF(E162="","",ROUND(E162*Resumen!$B$3,2))</f>
      </c>
      <c r="I162">
        <v>4.8</v>
      </c>
      <c r="J162">
        <v>11</v>
      </c>
      <c r="K162">
        <v>342</v>
      </c>
      <c r="L162" t="str">
        <v>342 sold</v>
      </c>
      <c r="M162" t="str">
        <v/>
      </c>
      <c r="N162" t="str">
        <v>https://img.kwcdn.com/product/open/6fccde2d7b3248358c9dea98b0d6c624-goods.jpeg</v>
      </c>
      <c r="O162" t="str">
        <v>https://www.temu.com/goods.html?goods_id=606306773660617</v>
      </c>
    </row>
    <row r="163">
      <c r="A163" t="str">
        <v>Computación</v>
      </c>
      <c r="B163" t="str">
        <v>usb hub</v>
      </c>
      <c r="C163" t="str">
        <v>607103943032780</v>
      </c>
      <c r="D163" t="str">
        <v>USB Hub 1-To-4 Port 2.0 Extension Dock, *, Silvery</v>
      </c>
      <c r="E163">
        <v>3.59</v>
      </c>
      <c r="H163">
        <f>IF(E163="","",ROUND(E163*Resumen!$B$3,2))</f>
      </c>
      <c r="K163">
        <v>334</v>
      </c>
      <c r="L163" t="str">
        <v>334 sold</v>
      </c>
      <c r="M163" t="str">
        <v/>
      </c>
      <c r="N163" t="str">
        <v>https://img.kwcdn.com/product/fancy/92abffb2-2eca-4f88-bb25-7a8d30b30d85.jpg</v>
      </c>
      <c r="O163" t="str">
        <v>https://www.temu.com/goods.html?goods_id=607103943032780</v>
      </c>
    </row>
    <row r="164">
      <c r="A164" t="str">
        <v>Computación</v>
      </c>
      <c r="B164" t="str">
        <v>usb hub</v>
      </c>
      <c r="C164" t="str">
        <v>606787726053074</v>
      </c>
      <c r="D164" t="str">
        <v>12-Port USB Charging Station, 120W * USB Charger Hub, 6 USB-A And 6 Type-C PD Fast Charging Desktop Charger Block, Intelligent Multi-Device Charger for Phone, Tablet, Laptop Home Office</v>
      </c>
      <c r="E164">
        <v>3.95</v>
      </c>
      <c r="F164">
        <v>8.69</v>
      </c>
      <c r="G164">
        <v>54.55</v>
      </c>
      <c r="H164">
        <f>IF(E164="","",ROUND(E164*Resumen!$B$3,2))</f>
      </c>
      <c r="I164">
        <v>5</v>
      </c>
      <c r="J164">
        <v>9</v>
      </c>
      <c r="K164">
        <v>322</v>
      </c>
      <c r="L164" t="str">
        <v>322 sold</v>
      </c>
      <c r="M164" t="str">
        <v/>
      </c>
      <c r="N164" t="str">
        <v>https://img.kwcdn.com/product/fancy/8e6728ba-6f05-41d9-b111-f9480f9d04fa.jpg</v>
      </c>
      <c r="O164" t="str">
        <v>https://www.temu.com/goods.html?goods_id=606787726053074</v>
      </c>
    </row>
    <row r="165">
      <c r="A165" t="str">
        <v>Computación</v>
      </c>
      <c r="B165" t="str">
        <v>keyboard</v>
      </c>
      <c r="C165" t="str">
        <v>601100860954491</v>
      </c>
      <c r="D165" t="str">
        <v>104-Key Full Size USB Wired Keyboard - Silent Typing, Ergonomic Backlit Keys, * Typewriter Style, *, No Batteries Needed, Multi-System Compatible for Office &amp; Gaming, Office Keyboard, Compact Keyboard, Durable Build</v>
      </c>
      <c r="E165">
        <v>15.16</v>
      </c>
      <c r="F165">
        <v>84.95</v>
      </c>
      <c r="G165">
        <v>82.15</v>
      </c>
      <c r="H165">
        <f>IF(E165="","",ROUND(E165*Resumen!$B$3,2))</f>
      </c>
      <c r="I165">
        <v>4.6</v>
      </c>
      <c r="J165">
        <v>55</v>
      </c>
      <c r="K165">
        <v>315</v>
      </c>
      <c r="L165" t="str">
        <v>315 sold</v>
      </c>
      <c r="M165" t="str">
        <v/>
      </c>
      <c r="N165" t="str">
        <v>https://img.kwcdn.com/product/fancy/6b818bdc-3498-40ec-8392-af146e6edc48.jpg</v>
      </c>
      <c r="O165" t="str">
        <v>https://www.temu.com/goods.html?goods_id=601100860954491</v>
      </c>
    </row>
    <row r="166">
      <c r="A166" t="str">
        <v>Computación</v>
      </c>
      <c r="B166" t="str">
        <v>usb hub</v>
      </c>
      <c r="C166" t="str">
        <v>605976530941408</v>
      </c>
      <c r="D166" t="str">
        <v>* 6-in-1 Hub, Multi-Functional Docking Station with USB 3.0 + USB-C + SD/TF, Supports Smooth * Collaboration - USB-C Dongle for Office, Meetings, Travel &amp; Home Setup-Black</v>
      </c>
      <c r="E166">
        <v>9.17</v>
      </c>
      <c r="F166">
        <v>9.69</v>
      </c>
      <c r="G166">
        <v>5.37</v>
      </c>
      <c r="H166">
        <f>IF(E166="","",ROUND(E166*Resumen!$B$3,2))</f>
      </c>
      <c r="I166">
        <v>5</v>
      </c>
      <c r="J166">
        <v>1</v>
      </c>
      <c r="K166">
        <v>301</v>
      </c>
      <c r="L166" t="str">
        <v>301 sold</v>
      </c>
      <c r="M166" t="str">
        <v/>
      </c>
      <c r="N166" t="str">
        <v>https://img.kwcdn.com/product/fancy/53fcd9f6-b8b9-4b36-8195-f26842549051.jpg</v>
      </c>
      <c r="O166" t="str">
        <v>https://www.temu.com/goods.html?goods_id=605976530941408</v>
      </c>
    </row>
    <row r="167">
      <c r="A167" t="str">
        <v>Computación</v>
      </c>
      <c r="B167" t="str">
        <v>usb hub</v>
      </c>
      <c r="C167" t="str">
        <v>601100831072800</v>
      </c>
      <c r="D167" t="str">
        <v>* Professional Wrench Usb3.2Gen2, 10* 5 * HUB, 4 Ports All High Speed HUB, USB 3.2 Gen2 4-Port 10* Hub 5 *, Usb-A*4Port+Usb-C(5V Input) * Reading Interface [204]</v>
      </c>
      <c r="E167">
        <v>19.78</v>
      </c>
      <c r="H167">
        <f>IF(E167="","",ROUND(E167*Resumen!$B$3,2))</f>
      </c>
      <c r="I167">
        <v>5</v>
      </c>
      <c r="J167">
        <v>1</v>
      </c>
      <c r="K167">
        <v>294</v>
      </c>
      <c r="L167" t="str">
        <v>294 sold</v>
      </c>
      <c r="M167" t="str">
        <v/>
      </c>
      <c r="N167" t="str">
        <v>https://img.kwcdn.com/product/fancy/981db403-7830-4bf5-ab36-38a89329d9d5.jpg</v>
      </c>
      <c r="O167" t="str">
        <v>https://www.temu.com/goods.html?goods_id=601100831072800</v>
      </c>
    </row>
    <row r="168">
      <c r="A168" t="str">
        <v>Computación</v>
      </c>
      <c r="B168" t="str">
        <v>keyboard</v>
      </c>
      <c r="C168" t="str">
        <v>601101811242303</v>
      </c>
      <c r="D168" t="str">
        <v>* Aesthetically * Keyboard with ABS Panel 104 Keys with Comfortable Keycaps, Mute Button And Blue Backlight USB Wired Gaming Office Keyboard for Windows Laptops</v>
      </c>
      <c r="E168">
        <v>19.59</v>
      </c>
      <c r="F168">
        <v>62.21</v>
      </c>
      <c r="G168">
        <v>68.51</v>
      </c>
      <c r="H168">
        <f>IF(E168="","",ROUND(E168*Resumen!$B$3,2))</f>
      </c>
      <c r="I168">
        <v>4.3</v>
      </c>
      <c r="J168">
        <v>47</v>
      </c>
      <c r="K168">
        <v>262</v>
      </c>
      <c r="L168" t="str">
        <v>262 sold</v>
      </c>
      <c r="M168" t="str">
        <v/>
      </c>
      <c r="N168" t="str">
        <v>https://img.kwcdn.com/product/fancy/46d5012e-cc35-4cbf-8de0-9f10431691d8.jpg</v>
      </c>
      <c r="O168" t="str">
        <v>https://www.temu.com/goods.html?goods_id=601101811242303</v>
      </c>
    </row>
    <row r="169">
      <c r="A169" t="str">
        <v>Computación</v>
      </c>
      <c r="B169" t="str">
        <v>keyboard</v>
      </c>
      <c r="C169" t="str">
        <v>601099592940406</v>
      </c>
      <c r="D169" t="str">
        <v>* 60% wired gaming keyboard, RGB backlight mini small size convenient to carry 61 key thin film keyboard, suitable for PC/* *, typists, travel keyboards can only be wired for use (Grey and White)</v>
      </c>
      <c r="E169">
        <v>14.44</v>
      </c>
      <c r="F169">
        <v>71.96</v>
      </c>
      <c r="G169">
        <v>79.93</v>
      </c>
      <c r="H169">
        <f>IF(E169="","",ROUND(E169*Resumen!$B$3,2))</f>
      </c>
      <c r="I169">
        <v>4.7</v>
      </c>
      <c r="J169">
        <v>42</v>
      </c>
      <c r="K169">
        <v>257</v>
      </c>
      <c r="L169" t="str">
        <v>257 sold</v>
      </c>
      <c r="M169" t="str">
        <v/>
      </c>
      <c r="N169" t="str">
        <v>https://img.kwcdn.com/product/fancy/8cb7a9e7-f4dd-49d2-bc46-da19b45d1df2.jpg</v>
      </c>
      <c r="O169" t="str">
        <v>https://www.temu.com/goods.html?goods_id=601099592940406</v>
      </c>
    </row>
    <row r="170">
      <c r="A170" t="str">
        <v>Computación</v>
      </c>
      <c r="B170" t="str">
        <v>keyboard</v>
      </c>
      <c r="C170" t="str">
        <v>601099637813110</v>
      </c>
      <c r="D170" t="str">
        <v>2.4G USB-A Wireless Keyboard Mouse Combo with Phone Tablet Holder for Laptop, PC Computer, 104 Keys * Full Size Keyboard, 800-1200-1600 CPI 6 Buttons Silent Mouse</v>
      </c>
      <c r="E170">
        <v>25.5</v>
      </c>
      <c r="F170">
        <v>55.99</v>
      </c>
      <c r="G170">
        <v>54.46</v>
      </c>
      <c r="H170">
        <f>IF(E170="","",ROUND(E170*Resumen!$B$3,2))</f>
      </c>
      <c r="I170">
        <v>4.2</v>
      </c>
      <c r="J170">
        <v>26</v>
      </c>
      <c r="K170">
        <v>249</v>
      </c>
      <c r="L170" t="str">
        <v>249 sold</v>
      </c>
      <c r="M170" t="str">
        <v/>
      </c>
      <c r="N170" t="str">
        <v>https://img.kwcdn.com/product/fancy/fcac2386-6424-41b8-92c4-a5f42fde4196.jpg</v>
      </c>
      <c r="O170" t="str">
        <v>https://www.temu.com/goods.html?goods_id=601099637813110</v>
      </c>
    </row>
    <row r="171">
      <c r="A171" t="str">
        <v>Computación</v>
      </c>
      <c r="B171" t="str">
        <v>usb hub</v>
      </c>
      <c r="C171" t="str">
        <v>601101416067819</v>
      </c>
      <c r="D171" t="str">
        <v>The USB Hub Is Suitable For * Ports, USB 3.0 Hub, 5* Distributor Expansion, 7 Ports, USB 3.0 Hub</v>
      </c>
      <c r="E171">
        <v>8.45</v>
      </c>
      <c r="F171">
        <v>55.89</v>
      </c>
      <c r="G171">
        <v>84.88</v>
      </c>
      <c r="H171">
        <f>IF(E171="","",ROUND(E171*Resumen!$B$3,2))</f>
      </c>
      <c r="I171">
        <v>4.9</v>
      </c>
      <c r="J171">
        <v>25</v>
      </c>
      <c r="K171">
        <v>244</v>
      </c>
      <c r="L171" t="str">
        <v>244 sold</v>
      </c>
      <c r="M171" t="str">
        <v/>
      </c>
      <c r="N171" t="str">
        <v>https://img.kwcdn.com/product/fancy/06ae761a-e678-4b9a-b943-ea77cb55fbb5.jpg</v>
      </c>
      <c r="O171" t="str">
        <v>https://www.temu.com/goods.html?goods_id=601101416067819</v>
      </c>
    </row>
    <row r="172">
      <c r="A172" t="str">
        <v>Computación</v>
      </c>
      <c r="B172" t="str">
        <v>keyboard</v>
      </c>
      <c r="C172" t="str">
        <v>601099656523317</v>
      </c>
      <c r="D172" t="str">
        <v>* X71 Pink Transparent Mechanical Keyboard With Clear Keycaps, BT5.0/2.4G/USB-C Wired Gaming Keyboard 68% Layout 71 Keys, Gasket Mount Wireless RGB Keyboard For Win/*</v>
      </c>
      <c r="E172">
        <v>75.2</v>
      </c>
      <c r="F172">
        <v>274.39</v>
      </c>
      <c r="G172">
        <v>72.59</v>
      </c>
      <c r="H172">
        <f>IF(E172="","",ROUND(E172*Resumen!$B$3,2))</f>
      </c>
      <c r="I172">
        <v>4.8</v>
      </c>
      <c r="J172">
        <v>49</v>
      </c>
      <c r="K172">
        <v>243</v>
      </c>
      <c r="L172" t="str">
        <v>243 sold</v>
      </c>
      <c r="M172" t="str">
        <v/>
      </c>
      <c r="N172" t="str">
        <v>https://img.kwcdn.com/product/fancy/0c663142-470b-49ca-b5f0-c20da424a341.jpg</v>
      </c>
      <c r="O172" t="str">
        <v>https://www.temu.com/goods.html?goods_id=601099656523317</v>
      </c>
    </row>
    <row r="173">
      <c r="A173" t="str">
        <v>Computación</v>
      </c>
      <c r="B173" t="str">
        <v>keyboard</v>
      </c>
      <c r="C173" t="str">
        <v>606984287975436</v>
      </c>
      <c r="D173" t="str">
        <v>Transparent Mechanical-Style Keyboard, 99-Key Crystal RGB Wireless Keyboard with Knob, Wireless, 2.4G &amp; USB-C, Aesthetic Keyboard for Desk Setup, * Upgrade, College Dorm, Office Desk Additions for Back to School College Dorm Desk Setup</v>
      </c>
      <c r="E173">
        <v>37.23</v>
      </c>
      <c r="F173">
        <v>60.19</v>
      </c>
      <c r="G173">
        <v>38.15</v>
      </c>
      <c r="H173">
        <f>IF(E173="","",ROUND(E173*Resumen!$B$3,2))</f>
      </c>
      <c r="I173">
        <v>4.7</v>
      </c>
      <c r="J173">
        <v>18</v>
      </c>
      <c r="K173">
        <v>236</v>
      </c>
      <c r="L173" t="str">
        <v>236 sold</v>
      </c>
      <c r="M173" t="str">
        <v/>
      </c>
      <c r="N173" t="str">
        <v>https://img.kwcdn.com/product/open/bef3bb6549af4a34804a53daf3041805-goods.jpeg</v>
      </c>
      <c r="O173" t="str">
        <v>https://www.temu.com/goods.html?goods_id=606984287975436</v>
      </c>
    </row>
    <row r="174">
      <c r="A174" t="str">
        <v>Computación</v>
      </c>
      <c r="B174" t="str">
        <v>usb hub</v>
      </c>
      <c r="C174" t="str">
        <v>607505790901233</v>
      </c>
      <c r="D174" t="str">
        <v>12-in-1 (6 USB Ports + 6 Type-C) USB Hub + 1pc Reusable Nano * Tape, 66W Fast Charging Station, PD Fast Charging * Hub, Fast Charging Type-C Multi-Plug/Multi-Output Socket, USB Hub, USB Adapter, Suitable for Laptops, PCs</v>
      </c>
      <c r="E174">
        <v>5.24</v>
      </c>
      <c r="F174">
        <v>8.35</v>
      </c>
      <c r="G174">
        <v>37.25</v>
      </c>
      <c r="H174">
        <f>IF(E174="","",ROUND(E174*Resumen!$B$3,2))</f>
      </c>
      <c r="K174">
        <v>224</v>
      </c>
      <c r="L174" t="str">
        <v>224 sold</v>
      </c>
      <c r="M174" t="str">
        <v/>
      </c>
      <c r="N174" t="str">
        <v>https://img.kwcdn.com/product/fancy/039bd3c5-65ae-4546-b421-c613cb3bb72a.jpg</v>
      </c>
      <c r="O174" t="str">
        <v>https://www.temu.com/goods.html?goods_id=607505790901233</v>
      </c>
    </row>
    <row r="175">
      <c r="A175" t="str">
        <v>Computación</v>
      </c>
      <c r="B175" t="str">
        <v>wireless mouse</v>
      </c>
      <c r="C175" t="str">
        <v>606858391698537</v>
      </c>
      <c r="D175" t="str">
        <v>* 2.4Ghz Wireless Mouse, Compact And Portable Mouse for Laptops, Tablets And More, 12-Month Battery (Not Included), Smooth Tracking, Compatible with PC And *, Windows And * - Graphite</v>
      </c>
      <c r="E175">
        <v>6.51</v>
      </c>
      <c r="F175">
        <v>30.58</v>
      </c>
      <c r="G175">
        <v>78.71</v>
      </c>
      <c r="H175">
        <f>IF(E175="","",ROUND(E175*Resumen!$B$3,2))</f>
      </c>
      <c r="I175">
        <v>4.4</v>
      </c>
      <c r="J175">
        <v>12</v>
      </c>
      <c r="K175">
        <v>223</v>
      </c>
      <c r="L175" t="str">
        <v>223 sold</v>
      </c>
      <c r="M175" t="str">
        <v/>
      </c>
      <c r="N175" t="str">
        <v>https://img.kwcdn.com/product/fancy/90721fa9-ff33-40d3-a9d0-0b269c21da7b.jpg</v>
      </c>
      <c r="O175" t="str">
        <v>https://www.temu.com/goods.html?goods_id=606858391698537</v>
      </c>
    </row>
    <row r="176">
      <c r="A176" t="str">
        <v>Computación</v>
      </c>
      <c r="B176" t="str">
        <v>keyboard</v>
      </c>
      <c r="C176" t="str">
        <v>607477202537532</v>
      </c>
      <c r="D176" t="str">
        <v>Aesthetic And Practical Gaming Keyboard, * Layout for Smooth Operation, Comfortable Keycaps for Natural Typing Feel. * Effects Enhance Desktop Ambiance, Suitable for Gaming, Entertainment, And Daily Use</v>
      </c>
      <c r="E176">
        <v>5.15</v>
      </c>
      <c r="F176">
        <v>6.5</v>
      </c>
      <c r="G176">
        <v>20.77</v>
      </c>
      <c r="H176">
        <f>IF(E176="","",ROUND(E176*Resumen!$B$3,2))</f>
      </c>
      <c r="K176">
        <v>217</v>
      </c>
      <c r="L176" t="str">
        <v>217 sold</v>
      </c>
      <c r="M176" t="str">
        <v/>
      </c>
      <c r="N176" t="str">
        <v>https://img.kwcdn.com/product/fancy/04104538-9479-42c5-b6ef-e5d53f84c16c.jpg</v>
      </c>
      <c r="O176" t="str">
        <v>https://www.temu.com/goods.html?goods_id=607477202537532</v>
      </c>
    </row>
    <row r="177">
      <c r="A177" t="str">
        <v>Computación</v>
      </c>
      <c r="B177" t="str">
        <v>usb hub</v>
      </c>
      <c r="C177" t="str">
        <v>601104367612078</v>
      </c>
      <c r="D177" t="str">
        <v>7-in-1 SD/TF with Card Reader HDTV Hub, USB 2.0/3.0 Docking Station, 3 USB Ports, PD 100W Charging Port, 4K HD HDTV Docking Station for */Air/Samsung/*/Dell And Other Devices</v>
      </c>
      <c r="E177">
        <v>5.47</v>
      </c>
      <c r="F177">
        <v>51.52</v>
      </c>
      <c r="G177">
        <v>89.38</v>
      </c>
      <c r="H177">
        <f>IF(E177="","",ROUND(E177*Resumen!$B$3,2))</f>
      </c>
      <c r="I177">
        <v>4.6</v>
      </c>
      <c r="J177">
        <v>12</v>
      </c>
      <c r="K177">
        <v>209</v>
      </c>
      <c r="L177" t="str">
        <v>209 sold</v>
      </c>
      <c r="M177" t="str">
        <v/>
      </c>
      <c r="N177" t="str">
        <v>https://img.kwcdn.com/product/fancy/bb2d9da8-be79-456c-a8cd-e238c3c48a7c.jpg</v>
      </c>
      <c r="O177" t="str">
        <v>https://www.temu.com/goods.html?goods_id=601104367612078</v>
      </c>
    </row>
    <row r="178">
      <c r="A178" t="str">
        <v>Computación</v>
      </c>
      <c r="B178" t="str">
        <v>wireless mouse</v>
      </c>
      <c r="C178" t="str">
        <v>601105337186165</v>
      </c>
      <c r="D178" t="str">
        <v>Cute Dolphin/Penguin/Turtle/Fish Wireless/2.4G Optical Gaming Mouse - Right-Handed Pen Click Computer Mouse with Marine Animal Print, - for PC/Laptop (No Port) - Ideal Gift for &amp; s</v>
      </c>
      <c r="E178">
        <v>14.09</v>
      </c>
      <c r="F178">
        <v>39.36</v>
      </c>
      <c r="G178">
        <v>64.2</v>
      </c>
      <c r="H178">
        <f>IF(E178="","",ROUND(E178*Resumen!$B$3,2))</f>
      </c>
      <c r="I178">
        <v>4.8</v>
      </c>
      <c r="J178">
        <v>30</v>
      </c>
      <c r="K178">
        <v>206</v>
      </c>
      <c r="L178" t="str">
        <v>206 sold</v>
      </c>
      <c r="M178" t="str">
        <v/>
      </c>
      <c r="N178" t="str">
        <v>https://img.kwcdn.com/product/fancy/89c98535-2bc1-40ed-9bfe-1c2cef7a5524.jpg</v>
      </c>
      <c r="O178" t="str">
        <v>https://www.temu.com/goods.html?goods_id=601105337186165</v>
      </c>
    </row>
    <row r="179">
      <c r="A179" t="str">
        <v>Computación</v>
      </c>
      <c r="B179" t="str">
        <v>usb hub</v>
      </c>
      <c r="C179" t="str">
        <v>601100824157829</v>
      </c>
      <c r="D179" t="str">
        <v>* USB Hub 3.0, * Aluminum 8in 1 USB Splitter with 1 x USB 3.0, 3 x USB 2.0 and 1 x USB C, SD/ TF Card Reader, 3.5mm Aux Ports for * Air and More PC/ Laptop/ Tablet Devices</v>
      </c>
      <c r="E179">
        <v>4.86</v>
      </c>
      <c r="F179">
        <v>49.85</v>
      </c>
      <c r="G179">
        <v>90.25</v>
      </c>
      <c r="H179">
        <f>IF(E179="","",ROUND(E179*Resumen!$B$3,2))</f>
      </c>
      <c r="I179">
        <v>4.9</v>
      </c>
      <c r="J179">
        <v>34</v>
      </c>
      <c r="K179">
        <v>201</v>
      </c>
      <c r="L179" t="str">
        <v>201 sold</v>
      </c>
      <c r="M179" t="str">
        <v/>
      </c>
      <c r="N179" t="str">
        <v>https://img.kwcdn.com/product/open/c201e95b8cc44057a5b3ded63c6163ee-goods.jpeg</v>
      </c>
      <c r="O179" t="str">
        <v>https://www.temu.com/goods.html?goods_id=601100824157829</v>
      </c>
    </row>
    <row r="180">
      <c r="A180" t="str">
        <v>Computación</v>
      </c>
      <c r="B180" t="str">
        <v>wireless mouse</v>
      </c>
      <c r="C180" t="str">
        <v>601103227897219</v>
      </c>
      <c r="D180" t="str">
        <v>Cute Typewriter Full-Size Keyboard and Mouse Set | * Keyboard with Number Pad, Compatible with for windows PC Laptop, 2.4GHz Wireless, Non-Rechargeable AA Batteries</v>
      </c>
      <c r="E180">
        <v>27.45</v>
      </c>
      <c r="F180">
        <v>101.55</v>
      </c>
      <c r="G180">
        <v>72.97</v>
      </c>
      <c r="H180">
        <f>IF(E180="","",ROUND(E180*Resumen!$B$3,2))</f>
      </c>
      <c r="I180">
        <v>5</v>
      </c>
      <c r="J180">
        <v>37</v>
      </c>
      <c r="K180">
        <v>195</v>
      </c>
      <c r="L180" t="str">
        <v>195 sold</v>
      </c>
      <c r="M180" t="str">
        <v/>
      </c>
      <c r="N180" t="str">
        <v>https://img.kwcdn.com/product/fancy/bfcfc3b5-669f-4b9b-9929-10deeb82e8fe.jpg</v>
      </c>
      <c r="O180" t="str">
        <v>https://www.temu.com/goods.html?goods_id=601103227897219</v>
      </c>
    </row>
    <row r="181">
      <c r="A181" t="str">
        <v>Computación</v>
      </c>
      <c r="B181" t="str">
        <v>keyboard</v>
      </c>
      <c r="C181" t="str">
        <v>605790773603084</v>
      </c>
      <c r="D181" t="str">
        <v>61-Key Portable Multifunction Electronic Keyboard with Microphone, Sheet Music &amp; Key Stickers for * Beginners, Multi-Tone &amp; Rhythm * for Home Practice, Travel, Parties, Holiday Performances And Ensemble Play, Gift for Family &amp; *</v>
      </c>
      <c r="E181">
        <v>25.6</v>
      </c>
      <c r="F181">
        <v>99.99</v>
      </c>
      <c r="G181">
        <v>74.4</v>
      </c>
      <c r="H181">
        <f>IF(E181="","",ROUND(E181*Resumen!$B$3,2))</f>
      </c>
      <c r="I181">
        <v>4.8</v>
      </c>
      <c r="J181">
        <v>33</v>
      </c>
      <c r="K181">
        <v>193</v>
      </c>
      <c r="L181" t="str">
        <v>193 sold</v>
      </c>
      <c r="M181" t="str">
        <v>Posible teclado musical (no de PC)</v>
      </c>
      <c r="N181" t="str">
        <v>https://img.kwcdn.com/product/fancy/acd8d505-b030-4ca1-b6c2-4ec06afd4545.jpg</v>
      </c>
      <c r="O181" t="str">
        <v>https://www.temu.com/goods.html?goods_id=605790773603084</v>
      </c>
    </row>
    <row r="182">
      <c r="A182" t="str">
        <v>Computación</v>
      </c>
      <c r="B182" t="str">
        <v>keyboard</v>
      </c>
      <c r="C182" t="str">
        <v>606967175169262</v>
      </c>
      <c r="D182" t="str">
        <v>* Office Keyboard, * Profile, 104-key Full-size Layout, Wired LED Backlit, White Silent Full-size Office Keyboard, Gaming Keyboard Compatible with ET Windows/laptops/PCs, Suitable for Esports Players, Home, School Dorms</v>
      </c>
      <c r="E182">
        <v>5.63</v>
      </c>
      <c r="F182">
        <v>6.73</v>
      </c>
      <c r="G182">
        <v>16.34</v>
      </c>
      <c r="H182">
        <f>IF(E182="","",ROUND(E182*Resumen!$B$3,2))</f>
      </c>
      <c r="K182">
        <v>190</v>
      </c>
      <c r="L182" t="str">
        <v>190 sold</v>
      </c>
      <c r="M182" t="str">
        <v/>
      </c>
      <c r="N182" t="str">
        <v>https://img.kwcdn.com/product/fancy/d2f880af-bf2f-4124-beb5-c938bc19b04d.jpg</v>
      </c>
      <c r="O182" t="str">
        <v>https://www.temu.com/goods.html?goods_id=606967175169262</v>
      </c>
    </row>
    <row r="183">
      <c r="A183" t="str">
        <v>Computación</v>
      </c>
      <c r="B183" t="str">
        <v>keyboard</v>
      </c>
      <c r="C183" t="str">
        <v>601102732955639</v>
      </c>
      <c r="D183" t="str">
        <v>Wired Mechanical Keyboard Compatible for PC/Laptop/Desktop - Hot-Swappable Switches, Macro Recording/Programming, - for PC Gaming &amp; Office Use, *, High-Performance Computer Keyboards for * and Professionals</v>
      </c>
      <c r="E183">
        <v>15.04</v>
      </c>
      <c r="F183">
        <v>66.1</v>
      </c>
      <c r="G183">
        <v>77.25</v>
      </c>
      <c r="H183">
        <f>IF(E183="","",ROUND(E183*Resumen!$B$3,2))</f>
      </c>
      <c r="I183">
        <v>4.4</v>
      </c>
      <c r="J183">
        <v>27</v>
      </c>
      <c r="K183">
        <v>181</v>
      </c>
      <c r="L183" t="str">
        <v>181 sold</v>
      </c>
      <c r="M183" t="str">
        <v/>
      </c>
      <c r="N183" t="str">
        <v>https://img.kwcdn.com/product/fancy/c1392dce-5385-48d7-8c02-9ffe7d3f134c.jpg</v>
      </c>
      <c r="O183" t="str">
        <v>https://www.temu.com/goods.html?goods_id=601102732955639</v>
      </c>
    </row>
    <row r="184">
      <c r="A184" t="str">
        <v>Computación</v>
      </c>
      <c r="B184" t="str">
        <v>keyboard</v>
      </c>
      <c r="C184" t="str">
        <v>605603875416755</v>
      </c>
      <c r="D184" t="str">
        <v>60-Key Wired Gaming Keyboard, RGB Mechanical, Mini Portable 61-Key Red/Blue Switch, * Typing, Space-Saving, for * Typists FPS</v>
      </c>
      <c r="E184">
        <v>13.09</v>
      </c>
      <c r="F184">
        <v>71.96</v>
      </c>
      <c r="G184">
        <v>81.81</v>
      </c>
      <c r="H184">
        <f>IF(E184="","",ROUND(E184*Resumen!$B$3,2))</f>
      </c>
      <c r="I184">
        <v>4.9</v>
      </c>
      <c r="J184">
        <v>26</v>
      </c>
      <c r="K184">
        <v>181</v>
      </c>
      <c r="L184" t="str">
        <v>181 sold</v>
      </c>
      <c r="M184" t="str">
        <v/>
      </c>
      <c r="N184" t="str">
        <v>https://img.kwcdn.com/product/fancy/6c07e524-5330-4c3c-98aa-0e1e4b850032.jpg</v>
      </c>
      <c r="O184" t="str">
        <v>https://www.temu.com/goods.html?goods_id=605603875416755</v>
      </c>
    </row>
    <row r="185">
      <c r="A185" t="str">
        <v>Computación</v>
      </c>
      <c r="B185" t="str">
        <v>usb hub</v>
      </c>
      <c r="C185" t="str">
        <v>605749233210630</v>
      </c>
      <c r="D185" t="str">
        <v>* 4-Port USB 3.0 Hub, 5* * USB Splitter, Portable USB Data Hub Adapter for Laptop, Desktop, PC, Keyboard, Mouse, U-Disk, Printer</v>
      </c>
      <c r="E185">
        <v>9.9</v>
      </c>
      <c r="F185">
        <v>10.84</v>
      </c>
      <c r="G185">
        <v>8.67</v>
      </c>
      <c r="H185">
        <f>IF(E185="","",ROUND(E185*Resumen!$B$3,2))</f>
      </c>
      <c r="K185">
        <v>178</v>
      </c>
      <c r="L185" t="str">
        <v>178 sold</v>
      </c>
      <c r="M185" t="str">
        <v/>
      </c>
      <c r="N185" t="str">
        <v>https://img.kwcdn.com/product/fancy/8e976cd8-6348-444e-8f5e-75a93a14db13.jpg</v>
      </c>
      <c r="O185" t="str">
        <v>https://www.temu.com/goods.html?goods_id=605749233210630</v>
      </c>
    </row>
    <row r="186">
      <c r="A186" t="str">
        <v>Computación</v>
      </c>
      <c r="B186" t="str">
        <v>keyboard</v>
      </c>
      <c r="C186" t="str">
        <v>606859129902555</v>
      </c>
      <c r="D186" t="str">
        <v>308* Wireless BT Keyboard, 84-Key Silent Typewriter Keyboard with Magnetic Cat Ornament, Round Keycaps, Compact * for PC Laptop iPad * Windows * IOS</v>
      </c>
      <c r="E186">
        <v>27.35</v>
      </c>
      <c r="F186">
        <v>120.56</v>
      </c>
      <c r="G186">
        <v>77.31</v>
      </c>
      <c r="H186">
        <f>IF(E186="","",ROUND(E186*Resumen!$B$3,2))</f>
      </c>
      <c r="I186">
        <v>5</v>
      </c>
      <c r="J186">
        <v>2</v>
      </c>
      <c r="K186">
        <v>158</v>
      </c>
      <c r="L186" t="str">
        <v>158 sold</v>
      </c>
      <c r="M186" t="str">
        <v/>
      </c>
      <c r="N186" t="str">
        <v>https://img.kwcdn.com/product/fancy/597dcd6d-78e8-4a8c-87d6-c6c64ce8223c.jpg</v>
      </c>
      <c r="O186" t="str">
        <v>https://www.temu.com/goods.html?goods_id=606859129902555</v>
      </c>
    </row>
    <row r="187">
      <c r="A187" t="str">
        <v>Computación</v>
      </c>
      <c r="B187" t="str">
        <v>usb hub</v>
      </c>
      <c r="C187" t="str">
        <v>605499605000797</v>
      </c>
      <c r="D187" t="str">
        <v>1pc USB Hub 4-Port/7-Port with Color-Changing Gradient &amp; Type-C Port - * Powered USB Expansion for Laptops, Smartphones, Tablets, External Drives | Compatible for USB-*, Keyboards, Mice, Hard * Transfer Hub</v>
      </c>
      <c r="E187">
        <v>3.65</v>
      </c>
      <c r="F187">
        <v>31.96</v>
      </c>
      <c r="G187">
        <v>88.58</v>
      </c>
      <c r="H187">
        <f>IF(E187="","",ROUND(E187*Resumen!$B$3,2))</f>
      </c>
      <c r="I187">
        <v>4.7</v>
      </c>
      <c r="J187">
        <v>27</v>
      </c>
      <c r="K187">
        <v>150</v>
      </c>
      <c r="L187" t="str">
        <v>150 sold</v>
      </c>
      <c r="M187" t="str">
        <v/>
      </c>
      <c r="N187" t="str">
        <v>https://img.kwcdn.com/product/fancy/578d6ba2-00bc-4db7-ab80-969c007393c1.jpg</v>
      </c>
      <c r="O187" t="str">
        <v>https://www.temu.com/goods.html?goods_id=605499605000797</v>
      </c>
    </row>
    <row r="188">
      <c r="A188" t="str">
        <v>Computación</v>
      </c>
      <c r="B188" t="str">
        <v>keyboard</v>
      </c>
      <c r="C188" t="str">
        <v>606036123582019</v>
      </c>
      <c r="D188" t="str">
        <v>Dustproof Portable Foldable Silicone Quiet Keyboard, 103 Keys USB Plug and Play Rollable Design, Universal for Home and Office, Compatible with Desktops and Laptops</v>
      </c>
      <c r="E188">
        <v>10.66</v>
      </c>
      <c r="F188">
        <v>19.5</v>
      </c>
      <c r="G188">
        <v>45.33</v>
      </c>
      <c r="H188">
        <f>IF(E188="","",ROUND(E188*Resumen!$B$3,2))</f>
      </c>
      <c r="I188">
        <v>4.7</v>
      </c>
      <c r="J188">
        <v>9</v>
      </c>
      <c r="K188">
        <v>132</v>
      </c>
      <c r="L188" t="str">
        <v>132 sold</v>
      </c>
      <c r="M188" t="str">
        <v/>
      </c>
      <c r="N188" t="str">
        <v>https://img.kwcdn.com/product/open/20981231dc9f4c7283ea4ff49c791273-goods.jpeg</v>
      </c>
      <c r="O188" t="str">
        <v>https://www.temu.com/goods.html?goods_id=606036123582019</v>
      </c>
    </row>
    <row r="189">
      <c r="A189" t="str">
        <v>Computación</v>
      </c>
      <c r="B189" t="str">
        <v>keyboard</v>
      </c>
      <c r="C189" t="str">
        <v>601102179559924</v>
      </c>
      <c r="D189" t="str">
        <v>1pc/2pcs, Silent Wired Gaming Keyboard, 104 Key Full-Size *ow LED Backlight, Silent Keyboard, Plug And Play, Optical Motion Detection, USB Plug, Suitable for Work, Office, And Gaming, No Battery Required</v>
      </c>
      <c r="E189">
        <v>5.73</v>
      </c>
      <c r="F189">
        <v>19.35</v>
      </c>
      <c r="G189">
        <v>70.39</v>
      </c>
      <c r="H189">
        <f>IF(E189="","",ROUND(E189*Resumen!$B$3,2))</f>
      </c>
      <c r="I189">
        <v>4.3</v>
      </c>
      <c r="J189">
        <v>19</v>
      </c>
      <c r="K189">
        <v>122</v>
      </c>
      <c r="L189" t="str">
        <v>122 sold</v>
      </c>
      <c r="M189" t="str">
        <v/>
      </c>
      <c r="N189" t="str">
        <v>https://img.kwcdn.com/product/fancy/09f7b50b-f2ef-4d05-8380-e00f6948aa02.jpg</v>
      </c>
      <c r="O189" t="str">
        <v>https://www.temu.com/goods.html?goods_id=601102179559924</v>
      </c>
    </row>
    <row r="190">
      <c r="A190" t="str">
        <v>Computación</v>
      </c>
      <c r="B190" t="str">
        <v>keyboard</v>
      </c>
      <c r="C190" t="str">
        <v>601102604589554</v>
      </c>
      <c r="D190" t="str">
        <v>Wired Gaming Keyboard And Mouse with ARGB Lighting, USB Connection, Suitable for PC * As Well As * And PS4 *, Durable And Ergonomic, Suitable for Office And Gaming Use, Give As Birthday And Christmas Gifts * *</v>
      </c>
      <c r="E190">
        <v>5.21</v>
      </c>
      <c r="F190">
        <v>23.37</v>
      </c>
      <c r="G190">
        <v>77.71</v>
      </c>
      <c r="H190">
        <f>IF(E190="","",ROUND(E190*Resumen!$B$3,2))</f>
      </c>
      <c r="I190">
        <v>4.2</v>
      </c>
      <c r="J190">
        <v>18</v>
      </c>
      <c r="K190">
        <v>119</v>
      </c>
      <c r="L190" t="str">
        <v>119 sold</v>
      </c>
      <c r="M190" t="str">
        <v/>
      </c>
      <c r="N190" t="str">
        <v>https://img.kwcdn.com/product/fancy/5deb9bf7-b241-4503-8748-84c2be8a76e0.jpg</v>
      </c>
      <c r="O190" t="str">
        <v>https://www.temu.com/goods.html?goods_id=601102604589554</v>
      </c>
    </row>
    <row r="191">
      <c r="A191" t="str">
        <v>Computación</v>
      </c>
      <c r="B191" t="str">
        <v>keyboard</v>
      </c>
      <c r="C191" t="str">
        <v>605868972167915</v>
      </c>
      <c r="D191" t="str">
        <v>* * R85 HE Magnetic Switch Gaming Keyboard - 8000Hz * Rate, 0.005mm RT *, *, 5-Layer Sound Dampening, 75% Layout, Full RGB Lightbox, * Support, Aluminum Alloy Frame</v>
      </c>
      <c r="E191">
        <v>51.77</v>
      </c>
      <c r="F191">
        <v>141.31</v>
      </c>
      <c r="G191">
        <v>63.36</v>
      </c>
      <c r="H191">
        <f>IF(E191="","",ROUND(E191*Resumen!$B$3,2))</f>
      </c>
      <c r="I191">
        <v>4.6</v>
      </c>
      <c r="J191">
        <v>11</v>
      </c>
      <c r="K191">
        <v>117</v>
      </c>
      <c r="L191" t="str">
        <v>117 sold</v>
      </c>
      <c r="M191" t="str">
        <v/>
      </c>
      <c r="N191" t="str">
        <v>https://img.kwcdn.com/product/fancy/18221c74-f836-4dfc-b79f-29b54e2ce28a.jpg</v>
      </c>
      <c r="O191" t="str">
        <v>https://www.temu.com/goods.html?goods_id=605868972167915</v>
      </c>
    </row>
    <row r="192">
      <c r="A192" t="str">
        <v>Computación</v>
      </c>
      <c r="B192" t="str">
        <v>keyboard</v>
      </c>
      <c r="C192" t="str">
        <v>601102123330959</v>
      </c>
      <c r="D192" t="str">
        <v>* Wired Mechanical Keyboard 67 Keys Full Key Hot-Swappable Structure * Office Game Special Side Engraved Magnetic Axis Computer Notebook Keyboard Obsidian Black</v>
      </c>
      <c r="E192">
        <v>53.1</v>
      </c>
      <c r="F192">
        <v>217.28</v>
      </c>
      <c r="G192">
        <v>75.56</v>
      </c>
      <c r="H192">
        <f>IF(E192="","",ROUND(E192*Resumen!$B$3,2))</f>
      </c>
      <c r="K192">
        <v>113</v>
      </c>
      <c r="L192" t="str">
        <v>113 sold</v>
      </c>
      <c r="M192" t="str">
        <v/>
      </c>
      <c r="N192" t="str">
        <v>https://img.kwcdn.com/product/fancy/0b0790d9-d96b-4c66-a3e4-3595dc590cd8.jpg</v>
      </c>
      <c r="O192" t="str">
        <v>https://www.temu.com/goods.html?goods_id=601102123330959</v>
      </c>
    </row>
    <row r="193">
      <c r="A193" t="str">
        <v>Computación</v>
      </c>
      <c r="B193" t="str">
        <v>usb hub</v>
      </c>
      <c r="C193" t="str">
        <v>601099822943771</v>
      </c>
      <c r="D193" t="str">
        <v>High */7 Ports USB HUB 2.0 Adapter Expander Multi USB Splitter Multiple Extender with LED Lamp Switch for PC Laptop</v>
      </c>
      <c r="E193">
        <v>7.88</v>
      </c>
      <c r="F193">
        <v>26.32</v>
      </c>
      <c r="G193">
        <v>70.06</v>
      </c>
      <c r="H193">
        <f>IF(E193="","",ROUND(E193*Resumen!$B$3,2))</f>
      </c>
      <c r="K193">
        <v>109</v>
      </c>
      <c r="L193" t="str">
        <v>109 sold</v>
      </c>
      <c r="M193" t="str">
        <v/>
      </c>
      <c r="N193" t="str">
        <v>https://img.kwcdn.com/product/Fancyalgo/VirtualModelMatting/431f0c2c68949f1af557bc3a9cca2063.jpg</v>
      </c>
      <c r="O193" t="str">
        <v>https://www.temu.com/goods.html?goods_id=601099822943771</v>
      </c>
    </row>
    <row r="194">
      <c r="A194" t="str">
        <v>Computación</v>
      </c>
      <c r="B194" t="str">
        <v>keyboard</v>
      </c>
      <c r="C194" t="str">
        <v>606096857078072</v>
      </c>
      <c r="D194" t="str">
        <v>61-Key Magnetic Mechanical Gaming Keyboard with RGB Backlit, USB-C Wired PC Compatible for PC/Laptop, Ultra-Fast 8KHz * *, Compact Suitable for Computer</v>
      </c>
      <c r="E194">
        <v>29.99</v>
      </c>
      <c r="F194">
        <v>31.57</v>
      </c>
      <c r="G194">
        <v>5</v>
      </c>
      <c r="H194">
        <f>IF(E194="","",ROUND(E194*Resumen!$B$3,2))</f>
      </c>
      <c r="I194">
        <v>5</v>
      </c>
      <c r="J194">
        <v>12</v>
      </c>
      <c r="K194">
        <v>109</v>
      </c>
      <c r="L194" t="str">
        <v>109 sold</v>
      </c>
      <c r="M194" t="str">
        <v/>
      </c>
      <c r="N194" t="str">
        <v>https://img.kwcdn.com/product/fancy/b0457599-34e5-4340-8ae3-5f4de3e20076.jpg</v>
      </c>
      <c r="O194" t="str">
        <v>https://www.temu.com/goods.html?goods_id=606096857078072</v>
      </c>
    </row>
    <row r="195">
      <c r="A195" t="str">
        <v>Computación</v>
      </c>
      <c r="B195" t="str">
        <v>wireless mouse</v>
      </c>
      <c r="C195" t="str">
        <v>601103035783832</v>
      </c>
      <c r="D195" t="str">
        <v>Cute Wireless USB C Mouse - Bluetooth Triple Mode Rechargeable Cartoon Mouse for Laptops, IPads &amp; */Pro - Silent Operation, Portable Design, Unique Magnetic Character</v>
      </c>
      <c r="E195">
        <v>25.75</v>
      </c>
      <c r="F195">
        <v>50.03</v>
      </c>
      <c r="G195">
        <v>48.53</v>
      </c>
      <c r="H195">
        <f>IF(E195="","",ROUND(E195*Resumen!$B$3,2))</f>
      </c>
      <c r="I195">
        <v>5</v>
      </c>
      <c r="J195">
        <v>11</v>
      </c>
      <c r="K195">
        <v>98</v>
      </c>
      <c r="L195" t="str">
        <v>98 sold</v>
      </c>
      <c r="M195" t="str">
        <v/>
      </c>
      <c r="N195" t="str">
        <v>https://img.kwcdn.com/product/fancy/85038124-d464-4c8b-ac74-d0d7773a8639.jpg</v>
      </c>
      <c r="O195" t="str">
        <v>https://www.temu.com/goods.html?goods_id=601103035783832</v>
      </c>
    </row>
    <row r="196">
      <c r="A196" t="str">
        <v>Computación</v>
      </c>
      <c r="B196" t="str">
        <v>keyboard</v>
      </c>
      <c r="C196" t="str">
        <v>601099656484218</v>
      </c>
      <c r="D196" t="str">
        <v>* X71 * Blue Transparent Mechanical Keyboard with Clear Keycaps, BT5.0/2.4G/USB-C Wired Gaming Keyboard 68% Layout 71 Keys, Gasket Mount Wireless RGB Keyboard for Win/*</v>
      </c>
      <c r="E196">
        <v>89.91</v>
      </c>
      <c r="F196">
        <v>472.09</v>
      </c>
      <c r="G196">
        <v>80.95</v>
      </c>
      <c r="H196">
        <f>IF(E196="","",ROUND(E196*Resumen!$B$3,2))</f>
      </c>
      <c r="I196">
        <v>5</v>
      </c>
      <c r="J196">
        <v>12</v>
      </c>
      <c r="K196">
        <v>89</v>
      </c>
      <c r="L196" t="str">
        <v>89 sold</v>
      </c>
      <c r="M196" t="str">
        <v/>
      </c>
      <c r="N196" t="str">
        <v>https://img.kwcdn.com/product/fancy/b6f6ce21-6075-410b-86f6-2d28c792a01b.jpg</v>
      </c>
      <c r="O196" t="str">
        <v>https://www.temu.com/goods.html?goods_id=601099656484218</v>
      </c>
    </row>
    <row r="197">
      <c r="A197" t="str">
        <v>Computación</v>
      </c>
      <c r="B197" t="str">
        <v>keyboard</v>
      </c>
      <c r="C197" t="str">
        <v>605641271792530</v>
      </c>
      <c r="D197" t="str">
        <v>Wired Keyboard And Mouse Set</v>
      </c>
      <c r="E197">
        <v>5.5</v>
      </c>
      <c r="F197">
        <v>9.23</v>
      </c>
      <c r="G197">
        <v>40.41</v>
      </c>
      <c r="H197">
        <f>IF(E197="","",ROUND(E197*Resumen!$B$3,2))</f>
      </c>
      <c r="I197">
        <v>4.6</v>
      </c>
      <c r="J197">
        <v>11</v>
      </c>
      <c r="K197">
        <v>86</v>
      </c>
      <c r="L197" t="str">
        <v>86 sold</v>
      </c>
      <c r="M197" t="str">
        <v/>
      </c>
      <c r="N197" t="str">
        <v>https://img.kwcdn.com/product/fancy/80ff364d-47ae-4576-ba1a-8928835cd75b.jpg</v>
      </c>
      <c r="O197" t="str">
        <v>https://www.temu.com/goods.html?goods_id=605641271792530</v>
      </c>
    </row>
    <row r="198">
      <c r="A198" t="str">
        <v>Computación</v>
      </c>
      <c r="B198" t="str">
        <v>keyboard</v>
      </c>
      <c r="C198" t="str">
        <v>601099730388938</v>
      </c>
      <c r="D198" t="str">
        <v>1pc * * RK86 RGB Mechanical Gaming Keyboard, 75% 82-Key with *, *, Rechargeable Battery, 1.2'' HD OLED Display, Knob, Triple Mode Wireless/2.4G/USB-C, Backlit, Linear Switches, USB Included</v>
      </c>
      <c r="E198">
        <v>43.21</v>
      </c>
      <c r="F198">
        <v>217.53</v>
      </c>
      <c r="G198">
        <v>80.14</v>
      </c>
      <c r="H198">
        <f>IF(E198="","",ROUND(E198*Resumen!$B$3,2))</f>
      </c>
      <c r="I198">
        <v>4.6</v>
      </c>
      <c r="J198">
        <v>12</v>
      </c>
      <c r="K198">
        <v>79</v>
      </c>
      <c r="L198" t="str">
        <v>79 sold</v>
      </c>
      <c r="M198" t="str">
        <v/>
      </c>
      <c r="N198" t="str">
        <v>https://img.kwcdn.com/product/fancy/1ca9eeaf-32ed-4106-99ea-a90ce54c0ea5.jpg</v>
      </c>
      <c r="O198" t="str">
        <v>https://www.temu.com/goods.html?goods_id=601099730388938</v>
      </c>
    </row>
    <row r="199">
      <c r="A199" t="str">
        <v>Computación</v>
      </c>
      <c r="B199" t="str">
        <v>usb hub</v>
      </c>
      <c r="C199" t="str">
        <v>606321017518749</v>
      </c>
      <c r="D199" t="str">
        <v>23.62inch/47.24inch 3Packs * 7-Port USB 2.0 Hub with LED, * Expansion Splitter, Power Adapter, And External Power Supply for Laptop And Computer Peripherals, Compatible with Multiple Systems</v>
      </c>
      <c r="E199">
        <v>13.15</v>
      </c>
      <c r="F199">
        <v>16.83</v>
      </c>
      <c r="G199">
        <v>21.87</v>
      </c>
      <c r="H199">
        <f>IF(E199="","",ROUND(E199*Resumen!$B$3,2))</f>
      </c>
      <c r="I199">
        <v>4.6</v>
      </c>
      <c r="J199">
        <v>7</v>
      </c>
      <c r="K199">
        <v>79</v>
      </c>
      <c r="L199" t="str">
        <v>79 sold</v>
      </c>
      <c r="M199" t="str">
        <v/>
      </c>
      <c r="N199" t="str">
        <v>https://img.kwcdn.com/product/fancy/e327a72d-cb79-4423-96e7-35c23d784a5e.jpg</v>
      </c>
      <c r="O199" t="str">
        <v>https://www.temu.com/goods.html?goods_id=606321017518749</v>
      </c>
    </row>
    <row r="200">
      <c r="A200" t="str">
        <v>Computación</v>
      </c>
      <c r="B200" t="str">
        <v>wireless mouse</v>
      </c>
      <c r="C200" t="str">
        <v>601101169511030</v>
      </c>
      <c r="D200" t="str">
        <v>Wireless Gaming Mouse-Gaming Mouse-* Connection-B5.1|2.4GHz|USB-C -RGB Translucent Honeycomb Shell -Changing Lights - with * And * Shortcut Keys-*/ 8/ 10/ */ Vista, * And * Systems- Suitable</v>
      </c>
      <c r="E200">
        <v>14.09</v>
      </c>
      <c r="F200">
        <v>63.87</v>
      </c>
      <c r="G200">
        <v>77.94</v>
      </c>
      <c r="H200">
        <f>IF(E200="","",ROUND(E200*Resumen!$B$3,2))</f>
      </c>
      <c r="I200">
        <v>5</v>
      </c>
      <c r="J200">
        <v>12</v>
      </c>
      <c r="K200">
        <v>74</v>
      </c>
      <c r="L200" t="str">
        <v>74 sold</v>
      </c>
      <c r="M200" t="str">
        <v/>
      </c>
      <c r="N200" t="str">
        <v>https://img.kwcdn.com/product/open/b13ae12b0c2e47bebe129392ba5e911d-goods.jpeg</v>
      </c>
      <c r="O200" t="str">
        <v>https://www.temu.com/goods.html?goods_id=601101169511030</v>
      </c>
    </row>
    <row r="201">
      <c r="A201" t="str">
        <v>Computación</v>
      </c>
      <c r="B201" t="str">
        <v>keyboard</v>
      </c>
      <c r="C201" t="str">
        <v>606877517759727</v>
      </c>
      <c r="D201" t="str">
        <v>Punk Typewriter Mechanical Gaming Keyboard, 104-Key Wired Retro Punk Round Keycap Design, LED Backlit USB Wired Keyboard, Multimedia Rotary Knob, *, Suitable for Gaming And Office Use</v>
      </c>
      <c r="E201">
        <v>7.37</v>
      </c>
      <c r="H201">
        <f>IF(E201="","",ROUND(E201*Resumen!$B$3,2))</f>
      </c>
      <c r="I201">
        <v>1</v>
      </c>
      <c r="J201">
        <v>1</v>
      </c>
      <c r="K201">
        <v>74</v>
      </c>
      <c r="L201" t="str">
        <v>74 sold</v>
      </c>
      <c r="M201" t="str">
        <v/>
      </c>
      <c r="N201" t="str">
        <v>https://img.kwcdn.com/product/fancy/d1ac2212-4197-485a-846d-b25d95c6a453.jpg</v>
      </c>
      <c r="O201" t="str">
        <v>https://www.temu.com/goods.html?goods_id=606877517759727</v>
      </c>
    </row>
    <row r="202">
      <c r="A202" t="str">
        <v>Computación</v>
      </c>
      <c r="B202" t="str">
        <v>usb hub</v>
      </c>
      <c r="C202" t="str">
        <v>601101244611216</v>
      </c>
      <c r="D202" t="str">
        <v>7-in-2 USB-C Hub with Dual USB &amp; SD/TF Card Reader - for * 13.0inch, Air M1/M2 &amp; More - Essential Thunderbolt 4 Adapter for * Data Transfer &amp; Display, OKG</v>
      </c>
      <c r="E202">
        <v>13.69</v>
      </c>
      <c r="F202">
        <v>89.99</v>
      </c>
      <c r="G202">
        <v>84.79</v>
      </c>
      <c r="H202">
        <f>IF(E202="","",ROUND(E202*Resumen!$B$3,2))</f>
      </c>
      <c r="I202">
        <v>5</v>
      </c>
      <c r="J202">
        <v>5</v>
      </c>
      <c r="K202">
        <v>70</v>
      </c>
      <c r="L202" t="str">
        <v>70 sold</v>
      </c>
      <c r="M202" t="str">
        <v/>
      </c>
      <c r="N202" t="str">
        <v>https://img.kwcdn.com/product/fancy/99572145-740f-4176-a7ee-5627701c7d2a.jpg</v>
      </c>
      <c r="O202" t="str">
        <v>https://www.temu.com/goods.html?goods_id=601101244611216</v>
      </c>
    </row>
    <row r="203">
      <c r="A203" t="str">
        <v>Computación</v>
      </c>
      <c r="B203" t="str">
        <v>usb hub</v>
      </c>
      <c r="C203" t="str">
        <v>607402443290592</v>
      </c>
      <c r="D203" t="str">
        <v>Clip-On * USB Hub, 6 USB-* PD Type-C Fast Charging * Adapters, 39.37-Inch Long Cable Desk Clip-On USB Extender, Portable USB Docking Station for Laptops And Tablets, * Charging Station for Home Office, Travel</v>
      </c>
      <c r="E203">
        <v>10.16</v>
      </c>
      <c r="F203">
        <v>23.97</v>
      </c>
      <c r="G203">
        <v>57.61</v>
      </c>
      <c r="H203">
        <f>IF(E203="","",ROUND(E203*Resumen!$B$3,2))</f>
      </c>
      <c r="I203">
        <v>5</v>
      </c>
      <c r="J203">
        <v>1</v>
      </c>
      <c r="K203">
        <v>66</v>
      </c>
      <c r="L203" t="str">
        <v>66 sold</v>
      </c>
      <c r="M203" t="str">
        <v/>
      </c>
      <c r="N203" t="str">
        <v>https://img.kwcdn.com/product/open/ad596dc499654341baabbf748e8a34b6-goods.jpeg</v>
      </c>
      <c r="O203" t="str">
        <v>https://www.temu.com/goods.html?goods_id=607402443290592</v>
      </c>
    </row>
    <row r="204">
      <c r="A204" t="str">
        <v>Computación</v>
      </c>
      <c r="B204" t="str">
        <v>keyboard</v>
      </c>
      <c r="C204" t="str">
        <v>605586645157082</v>
      </c>
      <c r="D204" t="str">
        <v>Wired Silent Keyboard With *ow Backlight, Silent Keyboard, Anti-ghosting Technology, *, USB Plug-and-play Compatible With Laptops, Desktops, Office, And Gaming. * With Mouse Pad And Cleaning Brush.</v>
      </c>
      <c r="E204">
        <v>19.18</v>
      </c>
      <c r="F204">
        <v>130.5</v>
      </c>
      <c r="G204">
        <v>85.3</v>
      </c>
      <c r="H204">
        <f>IF(E204="","",ROUND(E204*Resumen!$B$3,2))</f>
      </c>
      <c r="I204">
        <v>4.8</v>
      </c>
      <c r="J204">
        <v>15</v>
      </c>
      <c r="K204">
        <v>62</v>
      </c>
      <c r="L204" t="str">
        <v>62 sold</v>
      </c>
      <c r="M204" t="str">
        <v/>
      </c>
      <c r="N204" t="str">
        <v>https://img.kwcdn.com/product/fancy/43a68b23-178c-415f-9f81-d5904597b44f.jpg</v>
      </c>
      <c r="O204" t="str">
        <v>https://www.temu.com/goods.html?goods_id=605586645157082</v>
      </c>
    </row>
    <row r="205">
      <c r="A205" t="str">
        <v>Computación</v>
      </c>
      <c r="B205" t="str">
        <v>usb hub</v>
      </c>
      <c r="C205" t="str">
        <v>605967622203813</v>
      </c>
      <c r="D205" t="str">
        <v>3pcs USB Hub, 7-Port USB Hub, USB Extender with * Port for Laptop, PC, *, Gamepad, Flash Drive, HDD, Console, Printer, Camera, Keyborad, Mouse, USB Fan (7-Port 23.62inch/47.24inch USB C)</v>
      </c>
      <c r="E205">
        <v>14</v>
      </c>
      <c r="H205">
        <f>IF(E205="","",ROUND(E205*Resumen!$B$3,2))</f>
      </c>
      <c r="I205">
        <v>4.6</v>
      </c>
      <c r="J205">
        <v>10</v>
      </c>
      <c r="K205">
        <v>61</v>
      </c>
      <c r="L205" t="str">
        <v>61 sold</v>
      </c>
      <c r="M205" t="str">
        <v/>
      </c>
      <c r="N205" t="str">
        <v>https://img.kwcdn.com/product/fancy/bdf7de05-be9d-49a5-855e-3bf0a1c2a2e2.jpg</v>
      </c>
      <c r="O205" t="str">
        <v>https://www.temu.com/goods.html?goods_id=605967622203813</v>
      </c>
    </row>
    <row r="206">
      <c r="A206" t="str">
        <v>Computación</v>
      </c>
      <c r="B206" t="str">
        <v>keyboard</v>
      </c>
      <c r="C206" t="str">
        <v>606585543847354</v>
      </c>
      <c r="D206" t="str">
        <v>* 3108 Bun * Wired Keyboard Hot-Swappable Mechanical Keyboard with Detachable USB Interface White Backlit 108-Key Layout Full Size, with PBT 5-Sides Dye-Sub MOG Profile Keycaps, Suitable for Office, Gaming, And Daily Use, *</v>
      </c>
      <c r="E206">
        <v>115.04</v>
      </c>
      <c r="F206">
        <v>184.26</v>
      </c>
      <c r="G206">
        <v>37.57</v>
      </c>
      <c r="H206">
        <f>IF(E206="","",ROUND(E206*Resumen!$B$3,2))</f>
      </c>
      <c r="K206">
        <v>61</v>
      </c>
      <c r="L206" t="str">
        <v>61 sold</v>
      </c>
      <c r="M206" t="str">
        <v/>
      </c>
      <c r="N206" t="str">
        <v>https://img.kwcdn.com/product/fancy/0e7bd856-145b-4017-a692-864616d58676.jpg</v>
      </c>
      <c r="O206" t="str">
        <v>https://www.temu.com/goods.html?goods_id=606585543847354</v>
      </c>
    </row>
    <row r="207">
      <c r="A207" t="str">
        <v>Computación</v>
      </c>
      <c r="B207" t="str">
        <v>usb hub</v>
      </c>
      <c r="C207" t="str">
        <v>602668558846045</v>
      </c>
      <c r="D207" t="str">
        <v>USB 3.0 HUB 4 Port Switch Splitter Charger Adapter Powered for PC Laptop Desktop * Cable</v>
      </c>
      <c r="E207">
        <v>8.7</v>
      </c>
      <c r="F207">
        <v>26.99</v>
      </c>
      <c r="G207">
        <v>67.77</v>
      </c>
      <c r="H207">
        <f>IF(E207="","",ROUND(E207*Resumen!$B$3,2))</f>
      </c>
      <c r="I207">
        <v>4.8</v>
      </c>
      <c r="J207">
        <v>10</v>
      </c>
      <c r="K207">
        <v>60</v>
      </c>
      <c r="L207" t="str">
        <v>60 sold</v>
      </c>
      <c r="M207" t="str">
        <v/>
      </c>
      <c r="N207" t="str">
        <v>https://img.kwcdn.com/local-goods-image/21137b2486e/f086ca38-10af-4993-89c3-b780ca0cf7f1_1600x1600.jpeg.format.jpg</v>
      </c>
      <c r="O207" t="str">
        <v>https://www.temu.com/goods.html?goods_id=602668558846045</v>
      </c>
    </row>
    <row r="208">
      <c r="A208" t="str">
        <v>Computación</v>
      </c>
      <c r="B208" t="str">
        <v>keyboard</v>
      </c>
      <c r="C208" t="str">
        <v>607364996524553</v>
      </c>
      <c r="D208" t="str">
        <v>Volume Knob, 5-Layer Noise Reduction Design, Full Hot-Swappable Keycap, Gaming Keyboard, * Scheme, Suitable for Gaming And Office Use [Keycaps * for Separate Purchase]</v>
      </c>
      <c r="E208">
        <v>6.14</v>
      </c>
      <c r="H208">
        <f>IF(E208="","",ROUND(E208*Resumen!$B$3,2))</f>
      </c>
      <c r="K208">
        <v>60</v>
      </c>
      <c r="L208" t="str">
        <v>60 sold</v>
      </c>
      <c r="M208" t="str">
        <v/>
      </c>
      <c r="N208" t="str">
        <v>https://img.kwcdn.com/product/fancy/4229e0ce-e781-4df4-a456-62f323e720e3.jpg</v>
      </c>
      <c r="O208" t="str">
        <v>https://www.temu.com/goods.html?goods_id=607364996524553</v>
      </c>
    </row>
    <row r="209">
      <c r="A209" t="str">
        <v>Computación</v>
      </c>
      <c r="B209" t="str">
        <v>wireless mouse</v>
      </c>
      <c r="C209" t="str">
        <v>601105756067208</v>
      </c>
      <c r="D209" t="str">
        <v>Heart-Shaped * Bluetooth Wireless Mouse with RGB Breathing Light And Type-C Rechargeable Function</v>
      </c>
      <c r="E209">
        <v>15.38</v>
      </c>
      <c r="F209">
        <v>39.47</v>
      </c>
      <c r="G209">
        <v>61.03</v>
      </c>
      <c r="H209">
        <f>IF(E209="","",ROUND(E209*Resumen!$B$3,2))</f>
      </c>
      <c r="I209">
        <v>5</v>
      </c>
      <c r="J209">
        <v>2</v>
      </c>
      <c r="K209">
        <v>55</v>
      </c>
      <c r="L209" t="str">
        <v>55 sold</v>
      </c>
      <c r="M209" t="str">
        <v/>
      </c>
      <c r="N209" t="str">
        <v>https://img.kwcdn.com/product/fancy/c71509f1-49a3-4701-a52d-a10760ab771f.jpg</v>
      </c>
      <c r="O209" t="str">
        <v>https://www.temu.com/goods.html?goods_id=601105756067208</v>
      </c>
    </row>
    <row r="210">
      <c r="A210" t="str">
        <v>Computación</v>
      </c>
      <c r="B210" t="str">
        <v>usb hub</v>
      </c>
      <c r="C210" t="str">
        <v>606611062008047</v>
      </c>
      <c r="D210" t="str">
        <v>New 12-Port USB Charging Station, 120W * USB Charger Hub, 6 USB-A And 6 Type-C PD Fast Charging Desktop Charger Block, Intelligent Multi-Device Charger for Phone, Tablet, Laptop Home Office</v>
      </c>
      <c r="E210">
        <v>7.02</v>
      </c>
      <c r="H210">
        <f>IF(E210="","",ROUND(E210*Resumen!$B$3,2))</f>
      </c>
      <c r="K210">
        <v>55</v>
      </c>
      <c r="L210" t="str">
        <v>55 sold</v>
      </c>
      <c r="M210" t="str">
        <v/>
      </c>
      <c r="N210" t="str">
        <v>https://img.kwcdn.com/product/open/7b6c2f9414ec4e6b92496aa029bf4438-goods.jpeg</v>
      </c>
      <c r="O210" t="str">
        <v>https://www.temu.com/goods.html?goods_id=606611062008047</v>
      </c>
    </row>
    <row r="211">
      <c r="A211" t="str">
        <v>Computación</v>
      </c>
      <c r="B211" t="str">
        <v>wireless mouse</v>
      </c>
      <c r="C211" t="str">
        <v>606462147407060</v>
      </c>
      <c r="D211" t="str">
        <v>Wireless Wireless Mouse with Water Design - Sparkling Glitter Flow, Accurate Optical Tracking, Quiet Clicks, LED Breathing Light, Retro Transparent Aesthetic for Home And Office Use</v>
      </c>
      <c r="E211">
        <v>20.46</v>
      </c>
      <c r="F211">
        <v>36.05</v>
      </c>
      <c r="G211">
        <v>43.25</v>
      </c>
      <c r="H211">
        <f>IF(E211="","",ROUND(E211*Resumen!$B$3,2))</f>
      </c>
      <c r="I211">
        <v>5</v>
      </c>
      <c r="J211">
        <v>11</v>
      </c>
      <c r="K211">
        <v>54</v>
      </c>
      <c r="L211" t="str">
        <v>54 sold</v>
      </c>
      <c r="M211" t="str">
        <v/>
      </c>
      <c r="N211" t="str">
        <v>https://img.kwcdn.com/product/fancy/e711d4cb-2fad-433c-bb97-c91a139c0366.jpg</v>
      </c>
      <c r="O211" t="str">
        <v>https://www.temu.com/goods.html?goods_id=606462147407060</v>
      </c>
    </row>
    <row r="212">
      <c r="A212" t="str">
        <v>Computación</v>
      </c>
      <c r="B212" t="str">
        <v>keyboard</v>
      </c>
      <c r="C212" t="str">
        <v>605866220726892</v>
      </c>
      <c r="D212" t="str">
        <v>A68 Wired Mechanical Keyboard/ Hot-swappable 68-*/ Compact 65% Layout/ RGB Cool Lighting/ Suitable For *, Travel, And Office Use/ * With Type-C</v>
      </c>
      <c r="E212">
        <v>23.12</v>
      </c>
      <c r="F212">
        <v>111.99</v>
      </c>
      <c r="G212">
        <v>79.36</v>
      </c>
      <c r="H212">
        <f>IF(E212="","",ROUND(E212*Resumen!$B$3,2))</f>
      </c>
      <c r="I212">
        <v>4.7</v>
      </c>
      <c r="J212">
        <v>14</v>
      </c>
      <c r="K212">
        <v>54</v>
      </c>
      <c r="L212" t="str">
        <v>54 sold</v>
      </c>
      <c r="M212" t="str">
        <v/>
      </c>
      <c r="N212" t="str">
        <v>https://img.kwcdn.com/product/fancy/7bf8b40c-a074-4d03-aad8-c4d52d5339f8.jpg</v>
      </c>
      <c r="O212" t="str">
        <v>https://www.temu.com/goods.html?goods_id=605866220726892</v>
      </c>
    </row>
    <row r="213">
      <c r="A213" t="str">
        <v>Computación</v>
      </c>
      <c r="B213" t="str">
        <v>usb hub</v>
      </c>
      <c r="C213" t="str">
        <v>606887315621718</v>
      </c>
      <c r="D213" t="str">
        <v>66W Round USB-C Fast Charging Hub, * Docking Station, 4 Type-C PD Ports + 4 USB-A Ports, * * Fast Charging, * Adapter Kit, Compatible with Phones, Laptops, Tablets, Gaming Consoles, and Other Devices</v>
      </c>
      <c r="E213">
        <v>7.28</v>
      </c>
      <c r="F213">
        <v>7.86</v>
      </c>
      <c r="G213">
        <v>7.38</v>
      </c>
      <c r="H213">
        <f>IF(E213="","",ROUND(E213*Resumen!$B$3,2))</f>
      </c>
      <c r="I213">
        <v>4.8</v>
      </c>
      <c r="J213">
        <v>5</v>
      </c>
      <c r="K213">
        <v>48</v>
      </c>
      <c r="L213" t="str">
        <v>48 sold</v>
      </c>
      <c r="M213" t="str">
        <v/>
      </c>
      <c r="N213" t="str">
        <v>https://img.kwcdn.com/product/open/e55f3c9a27d54458b37dd7073d1b8561-goods.jpeg</v>
      </c>
      <c r="O213" t="str">
        <v>https://www.temu.com/goods.html?goods_id=606887315621718</v>
      </c>
    </row>
    <row r="214">
      <c r="A214" t="str">
        <v>Computación</v>
      </c>
      <c r="B214" t="str">
        <v>wireless mouse</v>
      </c>
      <c r="C214" t="str">
        <v>601105471126347</v>
      </c>
      <c r="D214" t="str">
        <v>Cute Shimmer Quicksand Wireless Mouse * 2.4G Wireless Silent Mute Portable Travel Mouse Gift for Girls Office Worker Laptop</v>
      </c>
      <c r="E214">
        <v>40.5</v>
      </c>
      <c r="F214">
        <v>87.68</v>
      </c>
      <c r="G214">
        <v>53.81</v>
      </c>
      <c r="H214">
        <f>IF(E214="","",ROUND(E214*Resumen!$B$3,2))</f>
      </c>
      <c r="I214">
        <v>4.8</v>
      </c>
      <c r="J214">
        <v>12</v>
      </c>
      <c r="K214">
        <v>46</v>
      </c>
      <c r="L214" t="str">
        <v>46 sold</v>
      </c>
      <c r="M214" t="str">
        <v/>
      </c>
      <c r="N214" t="str">
        <v>https://img.kwcdn.com/product/fancy/57ac7d40-27cb-4098-bd19-801b63032d8c.jpg</v>
      </c>
      <c r="O214" t="str">
        <v>https://www.temu.com/goods.html?goods_id=601105471126347</v>
      </c>
    </row>
    <row r="215">
      <c r="A215" t="str">
        <v>Computación</v>
      </c>
      <c r="B215" t="str">
        <v>keyboard</v>
      </c>
      <c r="C215" t="str">
        <v>602900654881326</v>
      </c>
      <c r="D215" t="str">
        <v>* - * Pro TKL * Wired Mechanical * Adjustable HyperMagnetic Gaming Keyboard with * - Black</v>
      </c>
      <c r="E215">
        <v>139.4</v>
      </c>
      <c r="F215">
        <v>154.99</v>
      </c>
      <c r="G215">
        <v>10.06</v>
      </c>
      <c r="H215">
        <f>IF(E215="","",ROUND(E215*Resumen!$B$3,2))</f>
      </c>
      <c r="I215">
        <v>5</v>
      </c>
      <c r="J215">
        <v>10</v>
      </c>
      <c r="K215">
        <v>44</v>
      </c>
      <c r="L215" t="str">
        <v>44 sold</v>
      </c>
      <c r="M215" t="str">
        <v/>
      </c>
      <c r="N215" t="str">
        <v>https://img.kwcdn.com/local-goods-image/212a0c7de0/64d17684-87b7-49fc-90f2-3fe14b17fbdf_997x997.jpeg.format.jpg</v>
      </c>
      <c r="O215" t="str">
        <v>https://www.temu.com/goods.html?goods_id=602900654881326</v>
      </c>
    </row>
    <row r="216">
      <c r="A216" t="str">
        <v>Computación</v>
      </c>
      <c r="B216" t="str">
        <v>keyboard</v>
      </c>
      <c r="C216" t="str">
        <v>606620557884693</v>
      </c>
      <c r="D216" t="str">
        <v>Retro Pink Typewriter Keyboard with Round Keycaps, Aesthetic Full-Size Computer Keyboard with Backlight, Cute Desk Additions for Women</v>
      </c>
      <c r="E216">
        <v>15.82</v>
      </c>
      <c r="F216">
        <v>60.63</v>
      </c>
      <c r="G216">
        <v>73.91</v>
      </c>
      <c r="H216">
        <f>IF(E216="","",ROUND(E216*Resumen!$B$3,2))</f>
      </c>
      <c r="I216">
        <v>3.7</v>
      </c>
      <c r="J216">
        <v>3</v>
      </c>
      <c r="K216">
        <v>44</v>
      </c>
      <c r="L216" t="str">
        <v>44 sold</v>
      </c>
      <c r="M216" t="str">
        <v/>
      </c>
      <c r="N216" t="str">
        <v>https://img.kwcdn.com/product/fancy/8784c07e-6075-4970-ae23-2784d255c82a.jpg</v>
      </c>
      <c r="O216" t="str">
        <v>https://www.temu.com/goods.html?goods_id=606620557884693</v>
      </c>
    </row>
    <row r="217">
      <c r="A217" t="str">
        <v>Computación</v>
      </c>
      <c r="B217" t="str">
        <v>usb hub</v>
      </c>
      <c r="C217" t="str">
        <v>602324961488727</v>
      </c>
      <c r="D217" t="str">
        <v>10-Port USB Charging Hub 65W PD Fast Desktop Charger Dual 20W QC 3.0 Ports * USB Charger</v>
      </c>
      <c r="E217">
        <v>14.62</v>
      </c>
      <c r="F217">
        <v>39</v>
      </c>
      <c r="G217">
        <v>62.51</v>
      </c>
      <c r="H217">
        <f>IF(E217="","",ROUND(E217*Resumen!$B$3,2))</f>
      </c>
      <c r="I217">
        <v>4.7</v>
      </c>
      <c r="J217">
        <v>6</v>
      </c>
      <c r="K217">
        <v>43</v>
      </c>
      <c r="L217" t="str">
        <v>43 sold</v>
      </c>
      <c r="M217" t="str">
        <v/>
      </c>
      <c r="N217" t="str">
        <v>https://img.kwcdn.com/local-goods-image/217a7c0bf4/e2939a5d-18cd-45d3-a3e8-8724c6028f8a_1000x1000.jpeg.format.jpg</v>
      </c>
      <c r="O217" t="str">
        <v>https://www.temu.com/goods.html?goods_id=602324961488727</v>
      </c>
    </row>
    <row r="218">
      <c r="A218" t="str">
        <v>Computación</v>
      </c>
      <c r="B218" t="str">
        <v>keyboard</v>
      </c>
      <c r="C218" t="str">
        <v>607299632466210</v>
      </c>
      <c r="D218" t="str">
        <v>Premium Steampunk Mechanical Keyboard Compatible for PC/Laptop, - Warm LED Backlit with, Included Suitable for Computer Typing, Gaming &amp; Office Use, * for Night *</v>
      </c>
      <c r="E218">
        <v>28.48</v>
      </c>
      <c r="F218">
        <v>157.86</v>
      </c>
      <c r="G218">
        <v>81.96</v>
      </c>
      <c r="H218">
        <f>IF(E218="","",ROUND(E218*Resumen!$B$3,2))</f>
      </c>
      <c r="K218">
        <v>41</v>
      </c>
      <c r="L218" t="str">
        <v>41 sold</v>
      </c>
      <c r="M218" t="str">
        <v/>
      </c>
      <c r="N218" t="str">
        <v>https://img.kwcdn.com/product/fancy/cea9c9ca-888b-4a20-b802-0f7c65b9a980.jpg</v>
      </c>
      <c r="O218" t="str">
        <v>https://www.temu.com/goods.html?goods_id=607299632466210</v>
      </c>
    </row>
    <row r="219">
      <c r="A219" t="str">
        <v>Computación</v>
      </c>
      <c r="B219" t="str">
        <v>keyboard</v>
      </c>
      <c r="C219" t="str">
        <v>607661013704130</v>
      </c>
      <c r="D219" t="str">
        <v>* 61-Key Portable Electronic Keyboard Piano Set, Teaching * for Beginner, with Microphone, Headphone, Music Stand, Festival/Birthday Gift for *</v>
      </c>
      <c r="E219">
        <v>56.96</v>
      </c>
      <c r="F219">
        <v>190.24</v>
      </c>
      <c r="G219">
        <v>70.06</v>
      </c>
      <c r="H219">
        <f>IF(E219="","",ROUND(E219*Resumen!$B$3,2))</f>
      </c>
      <c r="I219">
        <v>5</v>
      </c>
      <c r="J219">
        <v>2</v>
      </c>
      <c r="K219">
        <v>41</v>
      </c>
      <c r="L219" t="str">
        <v>41 sold</v>
      </c>
      <c r="M219" t="str">
        <v>Posible teclado musical (no de PC)</v>
      </c>
      <c r="N219" t="str">
        <v>https://img.kwcdn.com/product/fancy/72f5bc3c-2a39-42bd-a07c-7fe4e56850dc.jpg</v>
      </c>
      <c r="O219" t="str">
        <v>https://www.temu.com/goods.html?goods_id=607661013704130</v>
      </c>
    </row>
    <row r="220">
      <c r="A220" t="str">
        <v>Computación</v>
      </c>
      <c r="B220" t="str">
        <v>usb hub</v>
      </c>
      <c r="C220" t="str">
        <v>606732763932999</v>
      </c>
      <c r="D220" t="str">
        <v>Multifunctional Adapter, New USB Camera Docking Station, USB-C Laptop Hub, Type-C Versatile Laptop Dock, Including USB 3.0 + USB 2.0 + USB-C 5V Ports, Suitable for Mouse, Keyboard, Laptop, PC, Tablet, Headphones And Other USB Peripherals</v>
      </c>
      <c r="E220">
        <v>3.54</v>
      </c>
      <c r="F220">
        <v>20.88</v>
      </c>
      <c r="G220">
        <v>83.05</v>
      </c>
      <c r="H220">
        <f>IF(E220="","",ROUND(E220*Resumen!$B$3,2))</f>
      </c>
      <c r="K220">
        <v>39</v>
      </c>
      <c r="L220" t="str">
        <v>39 sold</v>
      </c>
      <c r="M220" t="str">
        <v/>
      </c>
      <c r="N220" t="str">
        <v>https://img.kwcdn.com/product/fancy/f834f3cd-0ebf-4832-9bb4-c1551e61fe3f.jpg</v>
      </c>
      <c r="O220" t="str">
        <v>https://www.temu.com/goods.html?goods_id=606732763932999</v>
      </c>
    </row>
    <row r="221">
      <c r="A221" t="str">
        <v>Computación</v>
      </c>
      <c r="B221" t="str">
        <v>keyboard</v>
      </c>
      <c r="C221" t="str">
        <v>606602035882901</v>
      </c>
      <c r="D221" t="str">
        <v>Full Size Retro Punk Wired Mechanical Keyboard with *ow Backlit &amp; USB - Anti-Ghosting Suitable for PC, Laptop, Office, Gaming, Multimedia Keys, USB- Computer Typing for PC Gaming Setup (No Required)</v>
      </c>
      <c r="E221">
        <v>9.68</v>
      </c>
      <c r="F221">
        <v>38.57</v>
      </c>
      <c r="G221">
        <v>74.9</v>
      </c>
      <c r="H221">
        <f>IF(E221="","",ROUND(E221*Resumen!$B$3,2))</f>
      </c>
      <c r="I221">
        <v>5</v>
      </c>
      <c r="J221">
        <v>1</v>
      </c>
      <c r="K221">
        <v>38</v>
      </c>
      <c r="L221" t="str">
        <v>38 sold</v>
      </c>
      <c r="M221" t="str">
        <v/>
      </c>
      <c r="N221" t="str">
        <v>https://img.kwcdn.com/product/fancy/b4323f7d-4153-4264-b3b4-8ba884f4d059.jpg</v>
      </c>
      <c r="O221" t="str">
        <v>https://www.temu.com/goods.html?goods_id=606602035882901</v>
      </c>
    </row>
    <row r="222">
      <c r="A222" t="str">
        <v>Computación</v>
      </c>
      <c r="B222" t="str">
        <v>usb hub</v>
      </c>
      <c r="C222" t="str">
        <v>602599839398628</v>
      </c>
      <c r="D222" t="str">
        <v>USB 3.0 Hub 4-Port Adapter Charger Data * for PC * Laptop Desktop ABS * Cable</v>
      </c>
      <c r="E222">
        <v>5.49</v>
      </c>
      <c r="F222">
        <v>22.99</v>
      </c>
      <c r="G222">
        <v>76.12</v>
      </c>
      <c r="H222">
        <f>IF(E222="","",ROUND(E222*Resumen!$B$3,2))</f>
      </c>
      <c r="I222">
        <v>5</v>
      </c>
      <c r="J222">
        <v>8</v>
      </c>
      <c r="K222">
        <v>37</v>
      </c>
      <c r="L222" t="str">
        <v>37 sold</v>
      </c>
      <c r="M222" t="str">
        <v/>
      </c>
      <c r="N222" t="str">
        <v>https://img.kwcdn.com/local-goods-image/21137b2486e/4a583777-1161-4579-8b1e-878eac82f284_1600x1600.png.format.jpg</v>
      </c>
      <c r="O222" t="str">
        <v>https://www.temu.com/goods.html?goods_id=602599839398628</v>
      </c>
    </row>
    <row r="223">
      <c r="A223" t="str">
        <v>Computación</v>
      </c>
      <c r="B223" t="str">
        <v>usb hub</v>
      </c>
      <c r="C223" t="str">
        <v>605795957742217</v>
      </c>
      <c r="D223" t="str">
        <v>* Laptop Stand with 100W PD Charging, 4K HDTV &amp; Ethernet Hub - Aluminum Ergonomic Base for MacBook/Windows/USB C Laptops</v>
      </c>
      <c r="E223">
        <v>29.99</v>
      </c>
      <c r="F223">
        <v>113</v>
      </c>
      <c r="G223">
        <v>73.46</v>
      </c>
      <c r="H223">
        <f>IF(E223="","",ROUND(E223*Resumen!$B$3,2))</f>
      </c>
      <c r="I223">
        <v>4.7</v>
      </c>
      <c r="J223">
        <v>6</v>
      </c>
      <c r="K223">
        <v>33</v>
      </c>
      <c r="L223" t="str">
        <v>33 sold</v>
      </c>
      <c r="M223" t="str">
        <v/>
      </c>
      <c r="N223" t="str">
        <v>https://img.kwcdn.com/product/fancy/b9560880-10d8-4803-b244-5778f3880981.jpg</v>
      </c>
      <c r="O223" t="str">
        <v>https://www.temu.com/goods.html?goods_id=605795957742217</v>
      </c>
    </row>
    <row r="224">
      <c r="A224" t="str">
        <v>Computación</v>
      </c>
      <c r="B224" t="str">
        <v>usb hub</v>
      </c>
      <c r="C224" t="str">
        <v>606081824706444</v>
      </c>
      <c r="D224" t="str">
        <v>10-in-1 Type-C Docking Station, USB 3.0 * Hub Expansion Adapter, Foldable Laptop Stand Base, Multifunctional Portable Type C Hub for Notebook Laptop Desktop</v>
      </c>
      <c r="E224">
        <v>17.91</v>
      </c>
      <c r="F224">
        <v>92.25</v>
      </c>
      <c r="G224">
        <v>80.59</v>
      </c>
      <c r="H224">
        <f>IF(E224="","",ROUND(E224*Resumen!$B$3,2))</f>
      </c>
      <c r="I224">
        <v>4.3</v>
      </c>
      <c r="J224">
        <v>3</v>
      </c>
      <c r="K224">
        <v>33</v>
      </c>
      <c r="L224" t="str">
        <v>33 sold</v>
      </c>
      <c r="M224" t="str">
        <v/>
      </c>
      <c r="N224" t="str">
        <v>https://img.kwcdn.com/product/fancy/d98224d9-6c8d-4b60-b5b9-5d4b5e9772b8.jpg</v>
      </c>
      <c r="O224" t="str">
        <v>https://www.temu.com/goods.html?goods_id=606081824706444</v>
      </c>
    </row>
    <row r="225">
      <c r="A225" t="str">
        <v>Computación</v>
      </c>
      <c r="B225" t="str">
        <v>keyboard</v>
      </c>
      <c r="C225" t="str">
        <v>607178836562651</v>
      </c>
      <c r="D225" t="str">
        <v>Wired Gaming Keyboard, *ow Backlit Keyboard with Mixed-Color Keycaps, USB Wired, for PC And Laptop, Ideal for Gaming And Office Use</v>
      </c>
      <c r="E225">
        <v>13.17</v>
      </c>
      <c r="F225">
        <v>29.99</v>
      </c>
      <c r="G225">
        <v>56.09</v>
      </c>
      <c r="H225">
        <f>IF(E225="","",ROUND(E225*Resumen!$B$3,2))</f>
      </c>
      <c r="I225">
        <v>5</v>
      </c>
      <c r="J225">
        <v>3</v>
      </c>
      <c r="K225">
        <v>33</v>
      </c>
      <c r="L225" t="str">
        <v>33 sold</v>
      </c>
      <c r="M225" t="str">
        <v/>
      </c>
      <c r="N225" t="str">
        <v>https://img.kwcdn.com/product/fancy/449bbf8e-1e0f-4bd8-a694-8f6cc9274bc8.jpg</v>
      </c>
      <c r="O225" t="str">
        <v>https://www.temu.com/goods.html?goods_id=607178836562651</v>
      </c>
    </row>
    <row r="226">
      <c r="A226" t="str">
        <v>Computación</v>
      </c>
      <c r="B226" t="str">
        <v>keyboard</v>
      </c>
      <c r="C226" t="str">
        <v>601099594967718</v>
      </c>
      <c r="D226" t="str">
        <v>* * Pink Typewriter Keyboard and Mouse, Retro Vintage Mechanical Gaming Keyboard with White LED Backlit, 104 Keys Anti-Ghosting Blue Switch Wired Cute Keyboard, Round Keycaps for Desktop PC/Laptop *</v>
      </c>
      <c r="E226">
        <v>44.14</v>
      </c>
      <c r="F226">
        <v>156.82</v>
      </c>
      <c r="G226">
        <v>71.85</v>
      </c>
      <c r="H226">
        <f>IF(E226="","",ROUND(E226*Resumen!$B$3,2))</f>
      </c>
      <c r="I226">
        <v>5</v>
      </c>
      <c r="J226">
        <v>5</v>
      </c>
      <c r="K226">
        <v>31</v>
      </c>
      <c r="L226" t="str">
        <v>31 sold</v>
      </c>
      <c r="M226" t="str">
        <v/>
      </c>
      <c r="N226" t="str">
        <v>https://img.kwcdn.com/product/fancy/0951ec6e-e7d8-4863-ae0d-510f51cecdfa.jpg</v>
      </c>
      <c r="O226" t="str">
        <v>https://www.temu.com/goods.html?goods_id=601099594967718</v>
      </c>
    </row>
    <row r="227">
      <c r="A227" t="str">
        <v>Computación</v>
      </c>
      <c r="B227" t="str">
        <v>keyboard</v>
      </c>
      <c r="C227" t="str">
        <v>603285960381419</v>
      </c>
      <c r="D227" t="str">
        <v>* Keyboard 2.*, 2.4G Wireless &amp; Bluetooth, 104 Keys, Blue Switch, 5000mAh, Retro Mechanical Keyboard for PC/*/Phone (English Keycaps)</v>
      </c>
      <c r="E227">
        <v>165.76</v>
      </c>
      <c r="F227">
        <v>195</v>
      </c>
      <c r="G227">
        <v>14.99</v>
      </c>
      <c r="H227">
        <f>IF(E227="","",ROUND(E227*Resumen!$B$3,2))</f>
      </c>
      <c r="I227">
        <v>5</v>
      </c>
      <c r="J227">
        <v>2</v>
      </c>
      <c r="K227">
        <v>30</v>
      </c>
      <c r="L227" t="str">
        <v>30 sold</v>
      </c>
      <c r="M227" t="str">
        <v/>
      </c>
      <c r="N227" t="str">
        <v>https://img.kwcdn.com/local-goods-image/21137b26e12/8d23323a-4d33-4c1a-b298-8976a8a8e146_1500x1500.png</v>
      </c>
      <c r="O227" t="str">
        <v>https://www.temu.com/goods.html?goods_id=603285960381419</v>
      </c>
    </row>
    <row r="228">
      <c r="A228" t="str">
        <v>Computación</v>
      </c>
      <c r="B228" t="str">
        <v>keyboard</v>
      </c>
      <c r="C228" t="str">
        <v>605798826640507</v>
      </c>
      <c r="D228" t="str">
        <v>* *98 Lite 96% ANSI US Layout VIA Programmable Gasket Wired/Bt/2.4Ghz Wireless Mechanical Gaming Keyboard 8000Mah</v>
      </c>
      <c r="E228">
        <v>100.9</v>
      </c>
      <c r="F228">
        <v>240.12</v>
      </c>
      <c r="G228">
        <v>57.98</v>
      </c>
      <c r="H228">
        <f>IF(E228="","",ROUND(E228*Resumen!$B$3,2))</f>
      </c>
      <c r="I228">
        <v>5</v>
      </c>
      <c r="J228">
        <v>3</v>
      </c>
      <c r="K228">
        <v>30</v>
      </c>
      <c r="L228" t="str">
        <v>30 sold</v>
      </c>
      <c r="M228" t="str">
        <v/>
      </c>
      <c r="N228" t="str">
        <v>https://img.kwcdn.com/product/fancy/2f230639-4561-4c27-a30c-f793db37e312.jpg</v>
      </c>
      <c r="O228" t="str">
        <v>https://www.temu.com/goods.html?goods_id=605798826640507</v>
      </c>
    </row>
    <row r="229">
      <c r="A229" t="str">
        <v>Computación</v>
      </c>
      <c r="B229" t="str">
        <v>keyboard</v>
      </c>
      <c r="C229" t="str">
        <v>606607069049960</v>
      </c>
      <c r="D229" t="str">
        <v>* 61-Key * Electric Piano Keyboard Set with Lighted Keys, * &amp;, Microphone &amp; Headphone Suitable for Beginners, Portable Keyboard Piano with Built-* System for, Studio, Birthday Gifts (*/)</v>
      </c>
      <c r="E229">
        <v>68.58</v>
      </c>
      <c r="F229">
        <v>129.99</v>
      </c>
      <c r="G229">
        <v>47.24</v>
      </c>
      <c r="H229">
        <f>IF(E229="","",ROUND(E229*Resumen!$B$3,2))</f>
      </c>
      <c r="I229">
        <v>5</v>
      </c>
      <c r="J229">
        <v>1</v>
      </c>
      <c r="K229">
        <v>29</v>
      </c>
      <c r="L229" t="str">
        <v>29 sold</v>
      </c>
      <c r="M229" t="str">
        <v>Posible teclado musical (no de PC)</v>
      </c>
      <c r="N229" t="str">
        <v>https://img.kwcdn.com/product/fancy/e34bfdd4-d8cc-4f84-a291-428b8db87e6e.jpg</v>
      </c>
      <c r="O229" t="str">
        <v>https://www.temu.com/goods.html?goods_id=606607069049960</v>
      </c>
    </row>
    <row r="230">
      <c r="A230" t="str">
        <v>Computación</v>
      </c>
      <c r="B230" t="str">
        <v>wireless mouse</v>
      </c>
      <c r="C230" t="str">
        <v>601105550065228</v>
      </c>
      <c r="D230" t="str">
        <v>Ergonomic Portable Wireless BT Mouse, Compatible with Laptops And Tablets Wireless Mouse, Battery-Powered (Batteries Not Included), * Profile</v>
      </c>
      <c r="E230">
        <v>3.15</v>
      </c>
      <c r="H230">
        <f>IF(E230="","",ROUND(E230*Resumen!$B$3,2))</f>
      </c>
      <c r="K230">
        <v>28</v>
      </c>
      <c r="L230" t="str">
        <v>28 sold</v>
      </c>
      <c r="M230" t="str">
        <v/>
      </c>
      <c r="N230" t="str">
        <v>https://img.kwcdn.com/product/fancy/8857cf01-c4d4-4b52-876e-eefe2c636c55.jpg</v>
      </c>
      <c r="O230" t="str">
        <v>https://www.temu.com/goods.html?goods_id=601105550065228</v>
      </c>
    </row>
    <row r="231">
      <c r="A231" t="str">
        <v>Computación</v>
      </c>
      <c r="B231" t="str">
        <v>usb hub</v>
      </c>
      <c r="C231" t="str">
        <v>606446108423486</v>
      </c>
      <c r="D231" t="str">
        <v>LIYPOP Magnetic NVMe/USB-* SSD Docking Station with Cooling Fan &amp; USB-C Hub, USB 3.2 Type-C Converter Hub, PD, Compatible for M.2 2230/2242/2280 * Enclosure for PC, Laptop, Desktop, External Storage</v>
      </c>
      <c r="E231">
        <v>67.52</v>
      </c>
      <c r="F231">
        <v>190.53</v>
      </c>
      <c r="G231">
        <v>64.56</v>
      </c>
      <c r="H231">
        <f>IF(E231="","",ROUND(E231*Resumen!$B$3,2))</f>
      </c>
      <c r="I231">
        <v>5</v>
      </c>
      <c r="J231">
        <v>2</v>
      </c>
      <c r="K231">
        <v>27</v>
      </c>
      <c r="L231" t="str">
        <v>27 sold</v>
      </c>
      <c r="M231" t="str">
        <v/>
      </c>
      <c r="N231" t="str">
        <v>https://img.kwcdn.com/product/fancy/e8b50d2d-43ec-4914-b0ed-650eb4aa5eb1.jpg</v>
      </c>
      <c r="O231" t="str">
        <v>https://www.temu.com/goods.html?goods_id=606446108423486</v>
      </c>
    </row>
    <row r="232">
      <c r="A232" t="str">
        <v>Computación</v>
      </c>
      <c r="B232" t="str">
        <v>usb hub</v>
      </c>
      <c r="C232" t="str">
        <v>601105128322000</v>
      </c>
      <c r="D232" t="str">
        <v>* 13-Port USB 3.0 Hub with QC Fast Charger &amp; Switch - USB-Powered (No External Adapter) * Splitter/Expander, 5.0* * Data Transfer, * for PC/Laptop, Compatible with USB-A/C/Mobile Devices</v>
      </c>
      <c r="E232">
        <v>50.5</v>
      </c>
      <c r="F232">
        <v>138.9</v>
      </c>
      <c r="G232">
        <v>63.64</v>
      </c>
      <c r="H232">
        <f>IF(E232="","",ROUND(E232*Resumen!$B$3,2))</f>
      </c>
      <c r="I232">
        <v>5</v>
      </c>
      <c r="J232">
        <v>1</v>
      </c>
      <c r="K232">
        <v>26</v>
      </c>
      <c r="L232" t="str">
        <v>26 sold</v>
      </c>
      <c r="M232" t="str">
        <v/>
      </c>
      <c r="N232" t="str">
        <v>https://img.kwcdn.com/product/open/32d08f6b7126486f96e57417687b03cc-goods.jpeg</v>
      </c>
      <c r="O232" t="str">
        <v>https://www.temu.com/goods.html?goods_id=601105128322000</v>
      </c>
    </row>
    <row r="233">
      <c r="A233" t="str">
        <v>Computación</v>
      </c>
      <c r="B233" t="str">
        <v>keyboard</v>
      </c>
      <c r="C233" t="str">
        <v>606377305049750</v>
      </c>
      <c r="D233" t="str">
        <v>20 Lighting Effects Purple Genuine Mechanical Keyboard Ergonomic Red Switch Linear * Adjustable * Stands Steampunk Style Compatible with Laptop Macbook * * From Local Warehouse Halloween Christmas Gift</v>
      </c>
      <c r="E233">
        <v>29.91</v>
      </c>
      <c r="F233">
        <v>97.51</v>
      </c>
      <c r="G233">
        <v>69.33</v>
      </c>
      <c r="H233">
        <f>IF(E233="","",ROUND(E233*Resumen!$B$3,2))</f>
      </c>
      <c r="I233">
        <v>4.5</v>
      </c>
      <c r="J233">
        <v>2</v>
      </c>
      <c r="K233">
        <v>26</v>
      </c>
      <c r="L233" t="str">
        <v>26 sold</v>
      </c>
      <c r="M233" t="str">
        <v/>
      </c>
      <c r="N233" t="str">
        <v>https://img.kwcdn.com/product/fancy/7b6d2506-fcd9-42d3-afd1-e5ac6fae60dc.jpg</v>
      </c>
      <c r="O233" t="str">
        <v>https://www.temu.com/goods.html?goods_id=606377305049750</v>
      </c>
    </row>
    <row r="234">
      <c r="A234" t="str">
        <v>Computación</v>
      </c>
      <c r="B234" t="str">
        <v>keyboard</v>
      </c>
      <c r="C234" t="str">
        <v>605825418514471</v>
      </c>
      <c r="D234" t="str">
        <v>* * R68 HE Wired RGB Mechanical Keyboard, * Carbon Fiber Magnetic Shaft Keyboard with 0.005mm RT *, 8K * Rate, 0.08ms * Latency, CNC Aluminum Alloy Frame</v>
      </c>
      <c r="E234">
        <v>46.89</v>
      </c>
      <c r="F234">
        <v>165.18</v>
      </c>
      <c r="G234">
        <v>71.61</v>
      </c>
      <c r="H234">
        <f>IF(E234="","",ROUND(E234*Resumen!$B$3,2))</f>
      </c>
      <c r="I234">
        <v>3.7</v>
      </c>
      <c r="J234">
        <v>3</v>
      </c>
      <c r="K234">
        <v>25</v>
      </c>
      <c r="L234" t="str">
        <v>25 sold</v>
      </c>
      <c r="M234" t="str">
        <v/>
      </c>
      <c r="N234" t="str">
        <v>https://img.kwcdn.com/product/fancy/22af1518-bd92-4c2b-83f7-40970a26e34f.jpg</v>
      </c>
      <c r="O234" t="str">
        <v>https://www.temu.com/goods.html?goods_id=605825418514471</v>
      </c>
    </row>
    <row r="235">
      <c r="A235" t="str">
        <v>Computación</v>
      </c>
      <c r="B235" t="str">
        <v>keyboard</v>
      </c>
      <c r="C235" t="str">
        <v>607161656641009</v>
      </c>
      <c r="D235" t="str">
        <v>Spiderweb Programmable Hollowed Out Gaming Keyboard, 8Khz High * Rate Wired Mechanical Keyboard, Programmable Music Rhythm RGB Light Effect Hot Swappable Keyboard for *</v>
      </c>
      <c r="E235">
        <v>29.99</v>
      </c>
      <c r="F235">
        <v>101.79</v>
      </c>
      <c r="G235">
        <v>70.54</v>
      </c>
      <c r="H235">
        <f>IF(E235="","",ROUND(E235*Resumen!$B$3,2))</f>
      </c>
      <c r="I235">
        <v>5</v>
      </c>
      <c r="J235">
        <v>4</v>
      </c>
      <c r="K235">
        <v>25</v>
      </c>
      <c r="L235" t="str">
        <v>25 sold</v>
      </c>
      <c r="M235" t="str">
        <v>Posible teclado musical (no de PC)</v>
      </c>
      <c r="N235" t="str">
        <v>https://img.kwcdn.com/product/fancy/8de0e4d1-4c27-4a17-94b6-cd4a4396e3fa.jpg</v>
      </c>
      <c r="O235" t="str">
        <v>https://www.temu.com/goods.html?goods_id=607161656641009</v>
      </c>
    </row>
    <row r="236">
      <c r="A236" t="str">
        <v>Computación</v>
      </c>
      <c r="B236" t="str">
        <v>usb hub</v>
      </c>
      <c r="C236" t="str">
        <v>610519582901910</v>
      </c>
      <c r="D236" t="str">
        <v>* *, * * USBC Hub with 4K *, 85W PD, USB-C and 2 USB-A 5* Data Ports, microSD and SD Card Reader, for *, *, XPS, and More (Charger not Included)</v>
      </c>
      <c r="E236">
        <v>15.32</v>
      </c>
      <c r="F236">
        <v>21.03</v>
      </c>
      <c r="G236">
        <v>27.15</v>
      </c>
      <c r="H236">
        <f>IF(E236="","",ROUND(E236*Resumen!$B$3,2))</f>
      </c>
      <c r="K236">
        <v>23</v>
      </c>
      <c r="L236" t="str">
        <v>23 sold</v>
      </c>
      <c r="M236" t="str">
        <v/>
      </c>
      <c r="N236" t="str">
        <v>https://img.kwcdn.com/local-goods-image/217a7c2376/30e3d154-88b7-4eee-bdec-b2bb1d12c6fc_914x914.jpeg.format.jpg</v>
      </c>
      <c r="O236" t="str">
        <v>https://www.temu.com/goods.html?goods_id=610519582901910</v>
      </c>
    </row>
    <row r="237">
      <c r="A237" t="str">
        <v>Computación</v>
      </c>
      <c r="B237" t="str">
        <v>usb hub</v>
      </c>
      <c r="C237" t="str">
        <v>601099635510452</v>
      </c>
      <c r="D237" t="str">
        <v>USB C Docking Station Dual Monitor, 9 In 1 USB-C * USB Type C Hub Multiport Adapter With Dual 4K, DP, 100W PD, 3 USB3.0 And TF/SD Card Reader For Type-*</v>
      </c>
      <c r="E237">
        <v>29.99</v>
      </c>
      <c r="H237">
        <f>IF(E237="","",ROUND(E237*Resumen!$B$3,2))</f>
      </c>
      <c r="I237">
        <v>5</v>
      </c>
      <c r="J237">
        <v>1</v>
      </c>
      <c r="K237">
        <v>22</v>
      </c>
      <c r="L237" t="str">
        <v>22 sold</v>
      </c>
      <c r="M237" t="str">
        <v/>
      </c>
      <c r="N237" t="str">
        <v>https://img.kwcdn.com/product/fancy/5bfa6477-75d3-4e39-9a81-74aa82828798.jpg</v>
      </c>
      <c r="O237" t="str">
        <v>https://www.temu.com/goods.html?goods_id=601099635510452</v>
      </c>
    </row>
    <row r="238">
      <c r="A238" t="str">
        <v>Computación</v>
      </c>
      <c r="B238" t="str">
        <v>usb hub</v>
      </c>
      <c r="C238" t="str">
        <v>601102718583634</v>
      </c>
      <c r="D238" t="str">
        <v>* 7-Port USB 3.0 Hub with Individual Control Switch, Aluminum Alloy, 5* Ultra-Fast Data Transfer, USB-C Fast Charging Port, 5V/1-3A, Compatible with Laptop, Portable Data Transfer Hub | Modern USB Hub | Durable USB Hub, USB 3.0 Hub</v>
      </c>
      <c r="E238">
        <v>14.1</v>
      </c>
      <c r="F238">
        <v>38.04</v>
      </c>
      <c r="G238">
        <v>62.93</v>
      </c>
      <c r="H238">
        <f>IF(E238="","",ROUND(E238*Resumen!$B$3,2))</f>
      </c>
      <c r="I238">
        <v>5</v>
      </c>
      <c r="J238">
        <v>3</v>
      </c>
      <c r="K238">
        <v>22</v>
      </c>
      <c r="L238" t="str">
        <v>22 sold</v>
      </c>
      <c r="M238" t="str">
        <v/>
      </c>
      <c r="N238" t="str">
        <v>https://img.kwcdn.com/product/fancy/497c2ebd-61c1-47d6-885e-cf4ee343de77.jpg</v>
      </c>
      <c r="O238" t="str">
        <v>https://www.temu.com/goods.html?goods_id=601102718583634</v>
      </c>
    </row>
    <row r="239">
      <c r="A239" t="str">
        <v>Computación</v>
      </c>
      <c r="B239" t="str">
        <v>keyboard</v>
      </c>
      <c r="C239" t="str">
        <v>607159039449504</v>
      </c>
      <c r="D239" t="str">
        <v>Round Key Punk Style Wired Quiet Keyboard Plug And Play USB Wired White Backlight * 26 Keys Anti * Purple Keycaps Compatible with Desktop And Laptop Local Warehouse Shipment</v>
      </c>
      <c r="E239">
        <v>15.78</v>
      </c>
      <c r="F239">
        <v>47.4</v>
      </c>
      <c r="G239">
        <v>66.71</v>
      </c>
      <c r="H239">
        <f>IF(E239="","",ROUND(E239*Resumen!$B$3,2))</f>
      </c>
      <c r="I239">
        <v>5</v>
      </c>
      <c r="J239">
        <v>1</v>
      </c>
      <c r="K239">
        <v>18</v>
      </c>
      <c r="L239" t="str">
        <v>18 sold</v>
      </c>
      <c r="M239" t="str">
        <v/>
      </c>
      <c r="N239" t="str">
        <v>https://img.kwcdn.com/product/fancy/43681639-8ff9-48b1-99dc-8070c8ca6e01.jpg</v>
      </c>
      <c r="O239" t="str">
        <v>https://www.temu.com/goods.html?goods_id=607159039449504</v>
      </c>
    </row>
    <row r="240">
      <c r="A240" t="str">
        <v>Computación</v>
      </c>
      <c r="B240" t="str">
        <v>keyboard</v>
      </c>
      <c r="C240" t="str">
        <v>607591690274187</v>
      </c>
      <c r="D240" t="str">
        <v>High End Durable * Ergonomic Office Wired Keyboard, Clean Business Minimalist Style, Sensitive Silvery Paste * Contacts, * Click *, 1.5m Cord for Laptop Daily Typing Task</v>
      </c>
      <c r="E240">
        <v>7.85</v>
      </c>
      <c r="F240">
        <v>10.28</v>
      </c>
      <c r="G240">
        <v>23.64</v>
      </c>
      <c r="H240">
        <f>IF(E240="","",ROUND(E240*Resumen!$B$3,2))</f>
      </c>
      <c r="K240">
        <v>18</v>
      </c>
      <c r="L240" t="str">
        <v>18 sold</v>
      </c>
      <c r="M240" t="str">
        <v/>
      </c>
      <c r="N240" t="str">
        <v>https://img.kwcdn.com/product/fancy/96afeef7-c266-4f79-aad0-0d02bea24057.jpg</v>
      </c>
      <c r="O240" t="str">
        <v>https://www.temu.com/goods.html?goods_id=607591690274187</v>
      </c>
    </row>
    <row r="241">
      <c r="A241" t="str">
        <v>Computación</v>
      </c>
      <c r="B241" t="str">
        <v>usb hub</v>
      </c>
      <c r="C241" t="str">
        <v>606823495138746</v>
      </c>
      <c r="D241" t="str">
        <v>Retro Cassette Tape USB Hub, 4-Port Multiport Adapter with 2 USB-* USB-C, Vintage Tape-Shaped USB Splitter, Portable Data Transfer Dock for Laptop PC, Cute Retro Desktop Accessory</v>
      </c>
      <c r="E241">
        <v>9.69</v>
      </c>
      <c r="F241">
        <v>34.22</v>
      </c>
      <c r="G241">
        <v>71.68</v>
      </c>
      <c r="H241">
        <f>IF(E241="","",ROUND(E241*Resumen!$B$3,2))</f>
      </c>
      <c r="K241">
        <v>17</v>
      </c>
      <c r="L241" t="str">
        <v>17 sold</v>
      </c>
      <c r="M241" t="str">
        <v/>
      </c>
      <c r="N241" t="str">
        <v>https://img.kwcdn.com/product/open/1c10af994e224b379a5aa1e80571e816-goods.jpeg</v>
      </c>
      <c r="O241" t="str">
        <v>https://www.temu.com/goods.html?goods_id=606823495138746</v>
      </c>
    </row>
    <row r="242">
      <c r="A242" t="str">
        <v>Computación</v>
      </c>
      <c r="B242" t="str">
        <v>usb hub</v>
      </c>
      <c r="C242" t="str">
        <v>607135148655005</v>
      </c>
      <c r="D242" t="str">
        <v>5-Port USB 3.0 Hub Compatible for */PC/Laptop, External USB-C Hub Converter with *, USB-C Splitter Extender Suitable for Smartphones, Tablets, Drives, Keyboards, Mice, No Internal Components/Electronics Required</v>
      </c>
      <c r="E242">
        <v>3.41</v>
      </c>
      <c r="F242">
        <v>33.69</v>
      </c>
      <c r="G242">
        <v>89.88</v>
      </c>
      <c r="H242">
        <f>IF(E242="","",ROUND(E242*Resumen!$B$3,2))</f>
      </c>
      <c r="I242">
        <v>5</v>
      </c>
      <c r="J242">
        <v>1</v>
      </c>
      <c r="K242">
        <v>17</v>
      </c>
      <c r="L242" t="str">
        <v>17 sold</v>
      </c>
      <c r="M242" t="str">
        <v/>
      </c>
      <c r="N242" t="str">
        <v>https://img.kwcdn.com/product/fancy/682462c3-5d76-4439-9545-47385786a46f.jpg</v>
      </c>
      <c r="O242" t="str">
        <v>https://www.temu.com/goods.html?goods_id=607135148655005</v>
      </c>
    </row>
    <row r="243">
      <c r="A243" t="str">
        <v>Computación</v>
      </c>
      <c r="B243" t="str">
        <v>keyboard</v>
      </c>
      <c r="C243" t="str">
        <v>607210377714646</v>
      </c>
      <c r="D243" t="str">
        <v>Computer Wired Keyboard Gaming Typing Office Universal USB Plug-And-Play Backlit Keyboard Compatible with Windows Systems [Keycaps * * Separately]</v>
      </c>
      <c r="E243">
        <v>5.81</v>
      </c>
      <c r="F243">
        <v>7.3</v>
      </c>
      <c r="G243">
        <v>20.41</v>
      </c>
      <c r="H243">
        <f>IF(E243="","",ROUND(E243*Resumen!$B$3,2))</f>
      </c>
      <c r="K243">
        <v>17</v>
      </c>
      <c r="L243" t="str">
        <v>17 sold</v>
      </c>
      <c r="M243" t="str">
        <v/>
      </c>
      <c r="N243" t="str">
        <v>https://img.kwcdn.com/product/fancy/447aa974-809e-48f5-8ac0-d39f54da9ce1.jpg</v>
      </c>
      <c r="O243" t="str">
        <v>https://www.temu.com/goods.html?goods_id=607210377714646</v>
      </c>
    </row>
    <row r="244">
      <c r="A244" t="str">
        <v>Computación</v>
      </c>
      <c r="B244" t="str">
        <v>keyboard</v>
      </c>
      <c r="C244" t="str">
        <v>606743501326466</v>
      </c>
      <c r="D244" t="str">
        <v>Vintage Mechanical Keyboard Compatible for */Windows, - Retro Typewriter with Backlit Round Keycaps, Compact Suitable for PC, Laptop, Desktop Computer - Line for Office &amp; Home Use, Voltage Operation</v>
      </c>
      <c r="E244">
        <v>27.23</v>
      </c>
      <c r="F244">
        <v>145.7</v>
      </c>
      <c r="G244">
        <v>81.31</v>
      </c>
      <c r="H244">
        <f>IF(E244="","",ROUND(E244*Resumen!$B$3,2))</f>
      </c>
      <c r="I244">
        <v>4.3</v>
      </c>
      <c r="J244">
        <v>4</v>
      </c>
      <c r="K244">
        <v>16</v>
      </c>
      <c r="L244" t="str">
        <v>16 sold</v>
      </c>
      <c r="M244" t="str">
        <v/>
      </c>
      <c r="N244" t="str">
        <v>https://img.kwcdn.com/product/fancy/2beefddd-9616-49d6-a523-d4195f5d909d.jpg</v>
      </c>
      <c r="O244" t="str">
        <v>https://www.temu.com/goods.html?goods_id=606743501326466</v>
      </c>
    </row>
    <row r="245">
      <c r="A245" t="str">
        <v>Computación</v>
      </c>
      <c r="B245" t="str">
        <v>usb hub</v>
      </c>
      <c r="C245" t="str">
        <v>607626117096151</v>
      </c>
      <c r="D245" t="str">
        <v>* Camera Docking Station, USB Hub, USB-C Adapter, * with Multiple Functional Ports, Suitable for Laptops, PCs, Tablets, Mice, Keyboards, Headphones, and Other External USB Devices, Suitable for Extended Use in Office</v>
      </c>
      <c r="E245">
        <v>3.54</v>
      </c>
      <c r="F245">
        <v>20.88</v>
      </c>
      <c r="G245">
        <v>83.05</v>
      </c>
      <c r="H245">
        <f>IF(E245="","",ROUND(E245*Resumen!$B$3,2))</f>
      </c>
      <c r="K245">
        <v>15</v>
      </c>
      <c r="L245" t="str">
        <v>15 sold</v>
      </c>
      <c r="M245" t="str">
        <v/>
      </c>
      <c r="N245" t="str">
        <v>https://img.kwcdn.com/product/fancy/5d35d082-665b-41e1-bf23-76c16ff91172.jpg</v>
      </c>
      <c r="O245" t="str">
        <v>https://www.temu.com/goods.html?goods_id=607626117096151</v>
      </c>
    </row>
    <row r="246">
      <c r="A246" t="str">
        <v>Computación</v>
      </c>
      <c r="B246" t="str">
        <v>keyboard</v>
      </c>
      <c r="C246" t="str">
        <v>606972678136962</v>
      </c>
      <c r="D246" t="str">
        <v>Wired Gaming Keyboard, *ow Backlit Keyboard with Mixed-Color Keycaps, USB Wired, for PC &amp; Laptop, Ideal for Gaming And Office Use Screen-printed Keycap G*phics</v>
      </c>
      <c r="E246">
        <v>15.17</v>
      </c>
      <c r="F246">
        <v>39.16</v>
      </c>
      <c r="G246">
        <v>61.26</v>
      </c>
      <c r="H246">
        <f>IF(E246="","",ROUND(E246*Resumen!$B$3,2))</f>
      </c>
      <c r="K246">
        <v>14</v>
      </c>
      <c r="L246" t="str">
        <v>14 sold</v>
      </c>
      <c r="M246" t="str">
        <v/>
      </c>
      <c r="N246" t="str">
        <v>https://img.kwcdn.com/product/fancy/3b6b2983-6a87-4f36-b009-87670150647e.jpg</v>
      </c>
      <c r="O246" t="str">
        <v>https://www.temu.com/goods.html?goods_id=606972678136962</v>
      </c>
    </row>
    <row r="247">
      <c r="A247" t="str">
        <v>Computación</v>
      </c>
      <c r="B247" t="str">
        <v>usb hub</v>
      </c>
      <c r="C247" t="str">
        <v>607012540780213</v>
      </c>
      <c r="D247" t="str">
        <v>66W 10-Port Extension Cord, 5 USB-C PD And 5 USB-A Charging Station, Compatible with USB Hubs, USB Adapters And USB-C Hubs; Multi-Output Type-C Ports Support Fast Charging, Multi Device Charger for Smartphones Tablets Headphones</v>
      </c>
      <c r="E247">
        <v>5.24</v>
      </c>
      <c r="F247">
        <v>31</v>
      </c>
      <c r="G247">
        <v>83.1</v>
      </c>
      <c r="H247">
        <f>IF(E247="","",ROUND(E247*Resumen!$B$3,2))</f>
      </c>
      <c r="I247">
        <v>3</v>
      </c>
      <c r="J247">
        <v>1</v>
      </c>
      <c r="K247">
        <v>13</v>
      </c>
      <c r="L247" t="str">
        <v>13 sold</v>
      </c>
      <c r="M247" t="str">
        <v/>
      </c>
      <c r="N247" t="str">
        <v>https://img.kwcdn.com/product/open/f2ca73f7cbe4451abcfe8d885c641f40-goods.jpeg</v>
      </c>
      <c r="O247" t="str">
        <v>https://www.temu.com/goods.html?goods_id=607012540780213</v>
      </c>
    </row>
    <row r="248">
      <c r="A248" t="str">
        <v>Computación</v>
      </c>
      <c r="B248" t="str">
        <v>usb hub</v>
      </c>
      <c r="C248" t="str">
        <v>602943436756585</v>
      </c>
      <c r="D248" t="str">
        <v>USB 3.0 HUB 4-USB Port Multi Adapter Charger Data For PC * Laptop Desktop LED Light * Cable</v>
      </c>
      <c r="E248">
        <v>5.49</v>
      </c>
      <c r="F248">
        <v>21.99</v>
      </c>
      <c r="G248">
        <v>75.03</v>
      </c>
      <c r="H248">
        <f>IF(E248="","",ROUND(E248*Resumen!$B$3,2))</f>
      </c>
      <c r="K248">
        <v>12</v>
      </c>
      <c r="L248" t="str">
        <v>12 sold</v>
      </c>
      <c r="M248" t="str">
        <v/>
      </c>
      <c r="N248" t="str">
        <v>https://img.kwcdn.com/local-goods-image/21137b2486e/e19aad7f-c953-4afb-8e07-92d6a4171844_1600x1600.png.format.jpg</v>
      </c>
      <c r="O248" t="str">
        <v>https://www.temu.com/goods.html?goods_id=602943436756585</v>
      </c>
    </row>
    <row r="249">
      <c r="A249" t="str">
        <v>Computación</v>
      </c>
      <c r="B249" t="str">
        <v>usb hub</v>
      </c>
      <c r="C249" t="str">
        <v>605715225787841</v>
      </c>
      <c r="D249" t="str">
        <v>Aluminum 7 Port USB 3.0 Hub with 3.3ft Cable, USB Splitter with 7-USB3.0 Data Ports And * 5V/4A * Compatible with MacBook, Laptop, Surface Pro, PS5, PC And More</v>
      </c>
      <c r="E249">
        <v>12.2</v>
      </c>
      <c r="F249">
        <v>19.99</v>
      </c>
      <c r="G249">
        <v>38.97</v>
      </c>
      <c r="H249">
        <f>IF(E249="","",ROUND(E249*Resumen!$B$3,2))</f>
      </c>
      <c r="K249">
        <v>11</v>
      </c>
      <c r="L249" t="str">
        <v>11 sold</v>
      </c>
      <c r="M249" t="str">
        <v/>
      </c>
      <c r="N249" t="str">
        <v>https://img.kwcdn.com/product/fancy/893b704c-5fe6-486e-9f9f-86c2fbde5cc3.jpg</v>
      </c>
      <c r="O249" t="str">
        <v>https://www.temu.com/goods.html?goods_id=605715225787841</v>
      </c>
    </row>
    <row r="250">
      <c r="A250" t="str">
        <v>Computación</v>
      </c>
      <c r="B250" t="str">
        <v>keyboard</v>
      </c>
      <c r="C250" t="str">
        <v>606265904344910</v>
      </c>
      <c r="D250" t="str">
        <v>60% Mechanical Gaming Keyboard Compatible for PC/*, Wired * Computer Keyboard with USB-C Cable, Anti-Ghosting Dynamic Backlit Suitable for PC, * Desktop, USB- for Office &amp; Gaming Setup</v>
      </c>
      <c r="E250">
        <v>22.86</v>
      </c>
      <c r="F250">
        <v>111.62</v>
      </c>
      <c r="G250">
        <v>79.52</v>
      </c>
      <c r="H250">
        <f>IF(E250="","",ROUND(E250*Resumen!$B$3,2))</f>
      </c>
      <c r="I250">
        <v>5</v>
      </c>
      <c r="J250">
        <v>1</v>
      </c>
      <c r="K250">
        <v>11</v>
      </c>
      <c r="L250" t="str">
        <v>11 sold</v>
      </c>
      <c r="M250" t="str">
        <v/>
      </c>
      <c r="N250" t="str">
        <v>https://img.kwcdn.com/product/fancy/3e68491f-2d67-4d6f-b370-054e72e77582.jpg</v>
      </c>
      <c r="O250" t="str">
        <v>https://www.temu.com/goods.html?goods_id=606265904344910</v>
      </c>
    </row>
    <row r="251">
      <c r="A251" t="str">
        <v>Computación</v>
      </c>
      <c r="B251" t="str">
        <v>keyboard</v>
      </c>
      <c r="C251" t="str">
        <v>601099588553550</v>
      </c>
      <c r="D251" t="str">
        <v>* X * Gaming Keyboard, Wired Keyboard with RGB Backlight, Mute Full Keyboard with Stand, Morandi Theme Style Keyboard, ABS Material Keycaps, Detachable Type-C USB Cable, Plug-and-Play, for PC/Win/*/Laptop</v>
      </c>
      <c r="E251">
        <v>41.76</v>
      </c>
      <c r="H251">
        <f>IF(E251="","",ROUND(E251*Resumen!$B$3,2))</f>
      </c>
      <c r="K251">
        <v>10</v>
      </c>
      <c r="L251" t="str">
        <v>10 sold</v>
      </c>
      <c r="M251" t="str">
        <v/>
      </c>
      <c r="N251" t="str">
        <v>https://img.kwcdn.com/product/fancy/c2f7336e-b8aa-45ee-9006-fab359247743.jpg</v>
      </c>
      <c r="O251" t="str">
        <v>https://www.temu.com/goods.html?goods_id=601099588553550</v>
      </c>
    </row>
    <row r="252">
      <c r="A252" t="str">
        <v>Computación</v>
      </c>
      <c r="B252" t="str">
        <v>usb hub</v>
      </c>
      <c r="C252" t="str">
        <v>605649928861633</v>
      </c>
      <c r="D252" t="str">
        <v>7-in-2 USB-C Hub with Dual USB &amp; SD/ TF Card Reader - for * 13.0inch, Air M1/ M2 &amp; More - Essential Thunderbolt 4 Adapter for * Data Transfer &amp; Display, OKG</v>
      </c>
      <c r="E252">
        <v>15.51</v>
      </c>
      <c r="F252">
        <v>37.34</v>
      </c>
      <c r="G252">
        <v>58.46</v>
      </c>
      <c r="H252">
        <f>IF(E252="","",ROUND(E252*Resumen!$B$3,2))</f>
      </c>
      <c r="K252">
        <v>10</v>
      </c>
      <c r="L252" t="str">
        <v>10 sold</v>
      </c>
      <c r="M252" t="str">
        <v/>
      </c>
      <c r="N252" t="str">
        <v>https://img.kwcdn.com/product/fancy/ef6f3ac4-256d-4473-9076-af6fbcc7bd9c.jpg</v>
      </c>
      <c r="O252" t="str">
        <v>https://www.temu.com/goods.html?goods_id=605649928861633</v>
      </c>
    </row>
    <row r="253">
      <c r="A253" t="str">
        <v>Computación</v>
      </c>
      <c r="B253" t="str">
        <v>keyboard</v>
      </c>
      <c r="C253" t="str">
        <v>606575024519643</v>
      </c>
      <c r="D253" t="str">
        <v>* PRO * Wireless Gaming Keyboard, Screen&amp;Knob 1000Hz * Rate, 5000mAh Battery, Driver, Hot-Swappable with PBT Keycap, RGB, Gasket</v>
      </c>
      <c r="E253">
        <v>81.64</v>
      </c>
      <c r="F253">
        <v>107.99</v>
      </c>
      <c r="G253">
        <v>24.4</v>
      </c>
      <c r="H253">
        <f>IF(E253="","",ROUND(E253*Resumen!$B$3,2))</f>
      </c>
      <c r="I253">
        <v>5</v>
      </c>
      <c r="J253">
        <v>1</v>
      </c>
      <c r="K253">
        <v>10</v>
      </c>
      <c r="L253" t="str">
        <v>10 sold</v>
      </c>
      <c r="M253" t="str">
        <v/>
      </c>
      <c r="N253" t="str">
        <v>https://img.kwcdn.com/product/fancy/0826a904-08f3-4836-85c8-21083c747373.jpg</v>
      </c>
      <c r="O253" t="str">
        <v>https://www.temu.com/goods.html?goods_id=606575024519643</v>
      </c>
    </row>
    <row r="254">
      <c r="A254" t="str">
        <v>Computación</v>
      </c>
      <c r="B254" t="str">
        <v>keyboard</v>
      </c>
      <c r="C254" t="str">
        <v>606701021402222</v>
      </c>
      <c r="D254" t="str">
        <v>* SK80 75% Compact Mechanical Keyboard with RGB Backlit *, Hot-Swap Pre-lubed POM Switches, &amp; Keycap Puller Suitable for */Win, Pink Gaming PC Board for Streaming, YouTube Setup, Multimedia Controls</v>
      </c>
      <c r="E254">
        <v>42.13</v>
      </c>
      <c r="F254">
        <v>60.46</v>
      </c>
      <c r="G254">
        <v>30.32</v>
      </c>
      <c r="H254">
        <f>IF(E254="","",ROUND(E254*Resumen!$B$3,2))</f>
      </c>
      <c r="K254">
        <v>8</v>
      </c>
      <c r="L254" t="str">
        <v>8 sold</v>
      </c>
      <c r="M254" t="str">
        <v/>
      </c>
      <c r="N254" t="str">
        <v>https://img.kwcdn.com/product/fancy/8c719218-0cf8-4715-af42-6ba42bbf8e95.jpg</v>
      </c>
      <c r="O254" t="str">
        <v>https://www.temu.com/goods.html?goods_id=606701021402222</v>
      </c>
    </row>
    <row r="255">
      <c r="A255" t="str">
        <v>Computación</v>
      </c>
      <c r="B255" t="str">
        <v>keyboard</v>
      </c>
      <c r="C255" t="str">
        <v>606154033841580</v>
      </c>
      <c r="D255" t="str">
        <v>97-Key Side Engraved Keyboard, Anti-Ghosting Keys, *, USB Plug And Play, Suitable for Laptops, Desktops, Pcs, Office And Gaming Use</v>
      </c>
      <c r="E255">
        <v>25.35</v>
      </c>
      <c r="F255">
        <v>77.78</v>
      </c>
      <c r="G255">
        <v>67.41</v>
      </c>
      <c r="H255">
        <f>IF(E255="","",ROUND(E255*Resumen!$B$3,2))</f>
      </c>
      <c r="K255">
        <v>7</v>
      </c>
      <c r="L255" t="str">
        <v>7 sold</v>
      </c>
      <c r="M255" t="str">
        <v/>
      </c>
      <c r="N255" t="str">
        <v>https://img.kwcdn.com/product/fancy/9992b497-0e2c-4632-b2ac-e1dbf62bc1b6.jpg</v>
      </c>
      <c r="O255" t="str">
        <v>https://www.temu.com/goods.html?goods_id=606154033841580</v>
      </c>
    </row>
    <row r="256">
      <c r="A256" t="str">
        <v>Computación</v>
      </c>
      <c r="B256" t="str">
        <v>usb hub</v>
      </c>
      <c r="C256" t="str">
        <v>607174809991040</v>
      </c>
      <c r="D256" t="str">
        <v>1pc 7/10-Port USB 3.0 Multiport Hub, 6A+1C/8A+2C Docking Station with RGB LED Light, Type-C Powered Input, * Switch, Driver-Free Plug And Play, for Gaming And Office Setup, Compatible with Laptop, PC, Mouse, Keyboard, U Disk, Camera</v>
      </c>
      <c r="E256">
        <v>12.11</v>
      </c>
      <c r="F256">
        <v>69.99</v>
      </c>
      <c r="G256">
        <v>82.7</v>
      </c>
      <c r="H256">
        <f>IF(E256="","",ROUND(E256*Resumen!$B$3,2))</f>
      </c>
      <c r="K256">
        <v>7</v>
      </c>
      <c r="L256" t="str">
        <v>7 sold</v>
      </c>
      <c r="M256" t="str">
        <v/>
      </c>
      <c r="N256" t="str">
        <v>https://img.kwcdn.com/product/fancy/37626da5-a6f9-4d98-8e31-4618e27909e9.jpg</v>
      </c>
      <c r="O256" t="str">
        <v>https://www.temu.com/goods.html?goods_id=607174809991040</v>
      </c>
    </row>
    <row r="257">
      <c r="A257" t="str">
        <v>Computación</v>
      </c>
      <c r="B257" t="str">
        <v>usb hub</v>
      </c>
      <c r="C257" t="str">
        <v>607552767102945</v>
      </c>
      <c r="D257" t="str">
        <v>7-In-1 USB 2.0 Docking Station with 6 USB-A And 1 USB-C Ports, RGB Light with Independent Control Switch, 47.24inch Long Cable, External Power Supply Port Supports 10T Hard Drive, * Hub for Laptop, Keyboard, Mouse, Card Reader, Hard Disk</v>
      </c>
      <c r="E257">
        <v>8.5</v>
      </c>
      <c r="F257">
        <v>69.99</v>
      </c>
      <c r="G257">
        <v>87.86</v>
      </c>
      <c r="H257">
        <f>IF(E257="","",ROUND(E257*Resumen!$B$3,2))</f>
      </c>
      <c r="K257">
        <v>6</v>
      </c>
      <c r="L257" t="str">
        <v>6 sold</v>
      </c>
      <c r="M257" t="str">
        <v/>
      </c>
      <c r="N257" t="str">
        <v>https://img.kwcdn.com/product/fancy/7a354585-740b-4dd3-b40b-a1d0edba6c78.jpg</v>
      </c>
      <c r="O257" t="str">
        <v>https://www.temu.com/goods.html?goods_id=607552767102945</v>
      </c>
    </row>
    <row r="258">
      <c r="A258" t="str">
        <v>Computación</v>
      </c>
      <c r="B258" t="str">
        <v>usb hub</v>
      </c>
      <c r="C258" t="str">
        <v>601099612936978</v>
      </c>
      <c r="D258" t="str">
        <v>Type C To SD TF Card Reader * * Hub Laptop USB-C Expansion Dock</v>
      </c>
      <c r="E258">
        <v>21.44</v>
      </c>
      <c r="H258">
        <f>IF(E258="","",ROUND(E258*Resumen!$B$3,2))</f>
      </c>
      <c r="K258">
        <v>5</v>
      </c>
      <c r="L258" t="str">
        <v>5 sold</v>
      </c>
      <c r="M258" t="str">
        <v/>
      </c>
      <c r="N258" t="str">
        <v>https://img.kwcdn.com/product/fancy/b229c64e-0e30-4416-b2c5-d4fc0098d2b8.jpg</v>
      </c>
      <c r="O258" t="str">
        <v>https://www.temu.com/goods.html?goods_id=601099612936978</v>
      </c>
    </row>
    <row r="259">
      <c r="A259" t="str">
        <v>Computación</v>
      </c>
      <c r="B259" t="str">
        <v>usb hub</v>
      </c>
      <c r="C259" t="str">
        <v>606013457532910</v>
      </c>
      <c r="D259" t="str">
        <v>3pcs-10-Port USB Hub, High Speed Data Transfer&amp; Charging Splitter Adapter, Universal Compatible With MacBook PC Laptop Mouse Keyboard For Office Home Use</v>
      </c>
      <c r="E259">
        <v>29.99</v>
      </c>
      <c r="H259">
        <f>IF(E259="","",ROUND(E259*Resumen!$B$3,2))</f>
      </c>
      <c r="K259">
        <v>5</v>
      </c>
      <c r="L259" t="str">
        <v>5 sold</v>
      </c>
      <c r="M259" t="str">
        <v/>
      </c>
      <c r="N259" t="str">
        <v>https://img.kwcdn.com/product/open/3ad109efcf1942afaa82b1a82ab66463-goods.jpeg</v>
      </c>
      <c r="O259" t="str">
        <v>https://www.temu.com/goods.html?goods_id=606013457532910</v>
      </c>
    </row>
    <row r="260">
      <c r="A260" t="str">
        <v>Computación</v>
      </c>
      <c r="B260" t="str">
        <v>keyboard</v>
      </c>
      <c r="C260" t="str">
        <v>607038579031869</v>
      </c>
      <c r="D260" t="str">
        <v>USB Wired Mechanical Feel Backlit Keyboard, Universal for Desktop Computers and Laptops, * Separately Purchasable Keycaps</v>
      </c>
      <c r="E260">
        <v>5.41</v>
      </c>
      <c r="F260">
        <v>5.97</v>
      </c>
      <c r="G260">
        <v>9.38</v>
      </c>
      <c r="H260">
        <f>IF(E260="","",ROUND(E260*Resumen!$B$3,2))</f>
      </c>
      <c r="K260">
        <v>5</v>
      </c>
      <c r="L260" t="str">
        <v>5 sold</v>
      </c>
      <c r="M260" t="str">
        <v/>
      </c>
      <c r="N260" t="str">
        <v>https://img.kwcdn.com/product/fancy/ea9e3c16-1884-417c-b1ae-6cf9740e670d.jpg</v>
      </c>
      <c r="O260" t="str">
        <v>https://www.temu.com/goods.html?goods_id=607038579031869</v>
      </c>
    </row>
    <row r="261">
      <c r="A261" t="str">
        <v>Computación</v>
      </c>
      <c r="B261" t="str">
        <v>keyboard</v>
      </c>
      <c r="C261" t="str">
        <v>607148771767707</v>
      </c>
      <c r="D261" t="str">
        <v>61-Key Portable Electronic Keyboard Piano Kit with Full-Size Keys, Built-In Speaker, HD Display, Wired Microphone &amp; Music Stand, USB Powered, Demo Songs, Teaching Mode, Black, for Beginner * Home Practice Travel</v>
      </c>
      <c r="E261">
        <v>24.29</v>
      </c>
      <c r="F261">
        <v>112.66</v>
      </c>
      <c r="G261">
        <v>78.44</v>
      </c>
      <c r="H261">
        <f>IF(E261="","",ROUND(E261*Resumen!$B$3,2))</f>
      </c>
      <c r="K261">
        <v>5</v>
      </c>
      <c r="L261" t="str">
        <v>5 sold</v>
      </c>
      <c r="M261" t="str">
        <v>Posible teclado musical (no de PC)</v>
      </c>
      <c r="N261" t="str">
        <v>https://img.kwcdn.com/product/fancy/096c2429-249d-4de5-b75c-02f1f580f8a6.jpg</v>
      </c>
      <c r="O261" t="str">
        <v>https://www.temu.com/goods.html?goods_id=607148771767707</v>
      </c>
    </row>
    <row r="262">
      <c r="A262" t="str">
        <v>Computación</v>
      </c>
      <c r="B262" t="str">
        <v>usb hub</v>
      </c>
      <c r="C262" t="str">
        <v>607272654760793</v>
      </c>
      <c r="D262" t="str">
        <v>Powered 10 Port USB 2.0 Hub, Stable C Port, Multi Device Charging And Data Expansion, for Laptops, PC, Smart Devices, Home And Office Use, Modern Hub Design, Durable Construction</v>
      </c>
      <c r="E262">
        <v>7.54</v>
      </c>
      <c r="F262">
        <v>14.85</v>
      </c>
      <c r="G262">
        <v>49.23</v>
      </c>
      <c r="H262">
        <f>IF(E262="","",ROUND(E262*Resumen!$B$3,2))</f>
      </c>
      <c r="K262">
        <v>5</v>
      </c>
      <c r="L262" t="str">
        <v>5 sold</v>
      </c>
      <c r="M262" t="str">
        <v/>
      </c>
      <c r="N262" t="str">
        <v>https://img.kwcdn.com/product/fancy/4ca0baba-660d-47ff-8e0a-0b9b287329c8.jpg</v>
      </c>
      <c r="O262" t="str">
        <v>https://www.temu.com/goods.html?goods_id=607272654760793</v>
      </c>
    </row>
    <row r="263">
      <c r="A263" t="str">
        <v>Computación</v>
      </c>
      <c r="B263" t="str">
        <v>usb hub</v>
      </c>
      <c r="C263" t="str">
        <v>607109177549809</v>
      </c>
      <c r="D263" t="str">
        <v>USB 3.0 Hub 4-Port Right Plug Style Laptop Multi-Interface Extension Aluminum Alloy Portable USB Splitter Right Plug * And Play</v>
      </c>
      <c r="E263">
        <v>2.17</v>
      </c>
      <c r="F263">
        <v>6.99</v>
      </c>
      <c r="G263">
        <v>68.96</v>
      </c>
      <c r="H263">
        <f>IF(E263="","",ROUND(E263*Resumen!$B$3,2))</f>
      </c>
      <c r="K263">
        <v>3</v>
      </c>
      <c r="L263" t="str">
        <v>3 sold</v>
      </c>
      <c r="M263" t="str">
        <v/>
      </c>
      <c r="N263" t="str">
        <v>https://img.kwcdn.com/product/fancy/17f404d7-86ba-422f-89f4-3c565f62b250.jpg</v>
      </c>
      <c r="O263" t="str">
        <v>https://www.temu.com/goods.html?goods_id=607109177549809</v>
      </c>
    </row>
    <row r="264">
      <c r="A264" t="str">
        <v>Computación</v>
      </c>
      <c r="B264" t="str">
        <v>keyboard</v>
      </c>
      <c r="C264" t="str">
        <v>605655834400629</v>
      </c>
      <c r="D264" t="str">
        <v>* 308I Compact 84-Key Round Keycap *, Portable Computer Keyboard, with Silent Chocolate Keys, Compatible with Windows/iOS/*</v>
      </c>
      <c r="E264">
        <v>17.82</v>
      </c>
      <c r="F264">
        <v>120.56</v>
      </c>
      <c r="G264">
        <v>85.22</v>
      </c>
      <c r="H264">
        <f>IF(E264="","",ROUND(E264*Resumen!$B$3,2))</f>
      </c>
      <c r="K264">
        <v>2</v>
      </c>
      <c r="L264" t="str">
        <v>2 sold</v>
      </c>
      <c r="M264" t="str">
        <v/>
      </c>
      <c r="N264" t="str">
        <v>https://img.kwcdn.com/product/fancy/009958b2-5484-4732-b708-73d23dcc4c8a.jpg</v>
      </c>
      <c r="O264" t="str">
        <v>https://www.temu.com/goods.html?goods_id=605655834400629</v>
      </c>
    </row>
    <row r="265">
      <c r="A265" t="str">
        <v>Computación</v>
      </c>
      <c r="B265" t="str">
        <v>keyboard</v>
      </c>
      <c r="C265" t="str">
        <v>605716953814872</v>
      </c>
      <c r="D265" t="str">
        <v>98-Key Mechanical Keyboard with Multimedia Knob, Pastel Contrast Color Typing Keyboard for PC, Laptop, *</v>
      </c>
      <c r="E265">
        <v>26.08</v>
      </c>
      <c r="F265">
        <v>145.81</v>
      </c>
      <c r="G265">
        <v>82.11</v>
      </c>
      <c r="H265">
        <f>IF(E265="","",ROUND(E265*Resumen!$B$3,2))</f>
      </c>
      <c r="K265">
        <v>2</v>
      </c>
      <c r="L265" t="str">
        <v>2 sold</v>
      </c>
      <c r="M265" t="str">
        <v/>
      </c>
      <c r="N265" t="str">
        <v>https://img.kwcdn.com/product/fancy/f28d5796-35e6-4559-8d25-c51d8ea1dbad.jpg</v>
      </c>
      <c r="O265" t="str">
        <v>https://www.temu.com/goods.html?goods_id=605716953814872</v>
      </c>
    </row>
    <row r="266">
      <c r="A266" t="str">
        <v>Computación</v>
      </c>
      <c r="B266" t="str">
        <v>keyboard</v>
      </c>
      <c r="C266" t="str">
        <v>607545586485762</v>
      </c>
      <c r="D266" t="str">
        <v>Gray-black * Membrane Keyboard with * Typing Feel, Plug-and-play. Ideal for Gaming And Office Use, Compatible with Desktops And Laptops, Suitable for * Men And Women.</v>
      </c>
      <c r="E266">
        <v>17.47</v>
      </c>
      <c r="F266">
        <v>26.29</v>
      </c>
      <c r="G266">
        <v>33.55</v>
      </c>
      <c r="H266">
        <f>IF(E266="","",ROUND(E266*Resumen!$B$3,2))</f>
      </c>
      <c r="I266">
        <v>1</v>
      </c>
      <c r="J266">
        <v>1</v>
      </c>
      <c r="K266">
        <v>2</v>
      </c>
      <c r="L266" t="str">
        <v>2 sold</v>
      </c>
      <c r="M266" t="str">
        <v/>
      </c>
      <c r="N266" t="str">
        <v>https://img.kwcdn.com/product/fancy/f13c9677-49d1-41d2-b5f9-da2143f4c773.jpg</v>
      </c>
      <c r="O266" t="str">
        <v>https://www.temu.com/goods.html?goods_id=607545586485762</v>
      </c>
    </row>
    <row r="267">
      <c r="A267" t="str">
        <v>Computación</v>
      </c>
      <c r="B267" t="str">
        <v>laptop stand</v>
      </c>
      <c r="C267" t="str">
        <v>609942446683776</v>
      </c>
      <c r="D267" t="str">
        <v>Adjustable Clear Acrylic Monitor Riser, 23.23–35.43 in Wide, Expandable Desktop Stand for Dual Monitors or Laptop, with Under-Desk Storage Space</v>
      </c>
      <c r="E267">
        <v>12.06</v>
      </c>
      <c r="H267">
        <f>IF(E267="","",ROUND(E267*Resumen!$B$3,2))</f>
      </c>
      <c r="K267">
        <v>2</v>
      </c>
      <c r="L267" t="str">
        <v>2</v>
      </c>
      <c r="M267" t="str">
        <v/>
      </c>
      <c r="N267" t="str">
        <v>https://img.kwcdn.com/local-goods-image/211523414d8/12c9ec32-150d-4f4f-ac88-be32c4e03da5_1254x1254.png</v>
      </c>
      <c r="O267" t="str">
        <v>https://www.temu.com/goods.html?goods_id=609942446683776</v>
      </c>
    </row>
    <row r="268">
      <c r="A268" t="str">
        <v>Computación</v>
      </c>
      <c r="B268" t="str">
        <v>usb hub</v>
      </c>
      <c r="C268" t="str">
        <v>610143236418398</v>
      </c>
      <c r="D268" t="str">
        <v>7-in-2 USB-C Hub with Dual USB &amp; SD/ TF Card Reader - Type‑C Multiport Adapter for * 13.0inch, Air M1/ M2 &amp; More - Essential Thunderbolt 4 Adapter for * Data Transfer &amp; Display, *</v>
      </c>
      <c r="E268">
        <v>19.69</v>
      </c>
      <c r="F268">
        <v>95.46</v>
      </c>
      <c r="G268">
        <v>79.37</v>
      </c>
      <c r="H268">
        <f>IF(E268="","",ROUND(E268*Resumen!$B$3,2))</f>
      </c>
      <c r="K268">
        <v>2</v>
      </c>
      <c r="L268" t="str">
        <v>2 sold</v>
      </c>
      <c r="M268" t="str">
        <v/>
      </c>
      <c r="N268" t="str">
        <v>https://img.kwcdn.com/local-goods-image/21f0661cc0/b9b8cc1c-ce83-443e-a4bb-55bd7a080753_1600x1600.png</v>
      </c>
      <c r="O268" t="str">
        <v>https://www.temu.com/goods.html?goods_id=610143236418398</v>
      </c>
    </row>
    <row r="269">
      <c r="A269" t="str">
        <v>Computación</v>
      </c>
      <c r="B269" t="str">
        <v>keyboard</v>
      </c>
      <c r="C269" t="str">
        <v>610781575917187</v>
      </c>
      <c r="D269" t="str">
        <v>* ROG 20th Edition * Extreme - Wireless Mechanical Gaming Keyboard - 75% TKL, ROG NX Snow V2 Linear Switch, Aluminum Chassis, Carbon Fiber, Color OLED Screen, PBT Keycaps, Gold/Black</v>
      </c>
      <c r="E269">
        <v>608.76</v>
      </c>
      <c r="H269">
        <f>IF(E269="","",ROUND(E269*Resumen!$B$3,2))</f>
      </c>
      <c r="I269">
        <v>5</v>
      </c>
      <c r="J269">
        <v>1</v>
      </c>
      <c r="K269">
        <v>2</v>
      </c>
      <c r="L269" t="str">
        <v>2 sold</v>
      </c>
      <c r="M269" t="str">
        <v/>
      </c>
      <c r="N269" t="str">
        <v>https://img.kwcdn.com/local-goods-image/899de9f2/ea78d26e-5369-4d98-b238-cc82c70e203a.jpeg</v>
      </c>
      <c r="O269" t="str">
        <v>https://www.temu.com/goods.html?goods_id=610781575917187</v>
      </c>
    </row>
    <row r="270">
      <c r="A270" t="str">
        <v>Computación</v>
      </c>
      <c r="B270" t="str">
        <v>keyboard</v>
      </c>
      <c r="C270" t="str">
        <v>606600223891738</v>
      </c>
      <c r="D270" t="str">
        <v>Dark-themed * Pattern High-End Iridescent 61-Key Mechanical Switch Gaming Keyboard and USB-C *, Red Switches, Aluminum Alloy Hollow Frame, RGB Backlit Keycaps, Hot-Swappable, 80 Million Clicks Golden Switches, Suitable for PC/*</v>
      </c>
      <c r="E270">
        <v>29.97</v>
      </c>
      <c r="H270">
        <f>IF(E270="","",ROUND(E270*Resumen!$B$3,2))</f>
      </c>
      <c r="K270">
        <v>1</v>
      </c>
      <c r="L270" t="str">
        <v>1 sold</v>
      </c>
      <c r="M270" t="str">
        <v/>
      </c>
      <c r="N270" t="str">
        <v>https://img.kwcdn.com/product/fancy/a67849c1-4d70-4f0d-b1b6-55aa73d699b6.jpg</v>
      </c>
      <c r="O270" t="str">
        <v>https://www.temu.com/goods.html?goods_id=606600223891738</v>
      </c>
    </row>
    <row r="271">
      <c r="A271" t="str">
        <v>Computación</v>
      </c>
      <c r="B271" t="str">
        <v>laptop stand</v>
      </c>
      <c r="C271" t="str">
        <v>606991166624182</v>
      </c>
      <c r="D271" t="str">
        <v>Aluminum Alloy Phone And Computer Stand with Magnetic Base And Eight Adjustable Height Settings, Foldable Desktop Stand Suitable for Laptops, Tablets, And Smartphones, Compatible with Iphone Duo And Iphone Pro Max</v>
      </c>
      <c r="E271">
        <v>7.58</v>
      </c>
      <c r="H271">
        <f>IF(E271="","",ROUND(E271*Resumen!$B$3,2))</f>
      </c>
      <c r="K271">
        <v>1</v>
      </c>
      <c r="L271" t="str">
        <v>1</v>
      </c>
      <c r="M271" t="str">
        <v/>
      </c>
      <c r="N271" t="str">
        <v>https://img.kwcdn.com/product/open/f2a2d5e8cb0d4979b0353d8ff2732a4d-goods.jpeg</v>
      </c>
      <c r="O271" t="str">
        <v>https://www.temu.com/goods.html?goods_id=606991166624182</v>
      </c>
    </row>
    <row r="272">
      <c r="A272" t="str">
        <v>Computación</v>
      </c>
      <c r="B272" t="str">
        <v>keyboard</v>
      </c>
      <c r="C272" t="str">
        <v>610262421742812</v>
      </c>
      <c r="D272" t="str">
        <v>* COOL68 65% Wired Gaming Keyboard, * Magnetic Switch Keyboard with 8000Hz * Rate, Adjustable *, 0.1ms Latency, Gasket Mount, Hot swappable, RGB Light, *</v>
      </c>
      <c r="E272">
        <v>62.47</v>
      </c>
      <c r="H272">
        <f>IF(E272="","",ROUND(E272*Resumen!$B$3,2))</f>
      </c>
      <c r="K272">
        <v>1</v>
      </c>
      <c r="L272" t="str">
        <v>1 sold</v>
      </c>
      <c r="M272" t="str">
        <v/>
      </c>
      <c r="N272" t="str">
        <v>https://img.kwcdn.com/local-goods-image/3c6509f6/aa05ff4b-c4c2-410b-943c-e1c622ad000a.jpeg</v>
      </c>
      <c r="O272" t="str">
        <v>https://www.temu.com/goods.html?goods_id=610262421742812</v>
      </c>
    </row>
    <row r="273">
      <c r="A273" t="str">
        <v>Computación</v>
      </c>
      <c r="B273" t="str">
        <v>laptop stand</v>
      </c>
      <c r="C273" t="str">
        <v>606694276980987</v>
      </c>
      <c r="D273" t="str">
        <v>9pcs Crow Magic Spell Book Candle Decorative Stickers | Self-Adhesive, Suitable for Cars, Laptops, Phones, And Home Decor, Black Crow Standing to Open Magic Tome, with Burning Candle, Feather Inkwell And Black Rose, Mysterious Witchcraft Watercolor</v>
      </c>
      <c r="E273">
        <v>1.33</v>
      </c>
      <c r="H273">
        <f>IF(E273="","",ROUND(E273*Resumen!$B$3,2))</f>
      </c>
      <c r="K273">
        <v>0</v>
      </c>
      <c r="L273" t="str">
        <v>0</v>
      </c>
      <c r="M273" t="str">
        <v/>
      </c>
      <c r="N273" t="str">
        <v>https://img.kwcdn.com/product/algo_check/auto/4f68ed0be6f7b0a5fa1415107bb2b724_1790103714502.jpg</v>
      </c>
      <c r="O273" t="str">
        <v>https://www.temu.com/goods.html?goods_id=606694276980987</v>
      </c>
    </row>
    <row r="274">
      <c r="A274" t="str">
        <v>Computación</v>
      </c>
      <c r="B274" t="str">
        <v>laptop stand</v>
      </c>
      <c r="C274" t="str">
        <v>606699108817443</v>
      </c>
      <c r="D274" t="str">
        <v>Adjustable Office Computer Desk with Wheels Movable Standing Rolling Laptop Desk Tilt Top Height Tray Side Computer Workstation for Office Home Use Black</v>
      </c>
      <c r="E274">
        <v>48.03</v>
      </c>
      <c r="H274">
        <f>IF(E274="","",ROUND(E274*Resumen!$B$3,2))</f>
      </c>
      <c r="K274">
        <v>0</v>
      </c>
      <c r="L274" t="str">
        <v>0</v>
      </c>
      <c r="M274" t="str">
        <v/>
      </c>
      <c r="N274" t="str">
        <v>https://img.kwcdn.com/product/fancy/8b32d573-841f-4d44-a9c9-e791aa3f3fd4.jpg</v>
      </c>
      <c r="O274" t="str">
        <v>https://www.temu.com/goods.html?goods_id=606699108817443</v>
      </c>
    </row>
    <row r="275">
      <c r="A275" t="str">
        <v>Computación</v>
      </c>
      <c r="B275" t="str">
        <v>laptop stand</v>
      </c>
      <c r="C275" t="str">
        <v>606744742857899</v>
      </c>
      <c r="D275" t="str">
        <v>2pcs Desk Holder Set for Laptop, Tablet and Phone, Foldable Aluminum Alloy Laptop Stand and Adjustable Phone Support, Portable Design for Workspaces, Study Desks, Online Lessons and Video Calls</v>
      </c>
      <c r="E275">
        <v>8.28</v>
      </c>
      <c r="H275">
        <f>IF(E275="","",ROUND(E275*Resumen!$B$3,2))</f>
      </c>
      <c r="K275">
        <v>0</v>
      </c>
      <c r="L275" t="str">
        <v>0</v>
      </c>
      <c r="M275" t="str">
        <v/>
      </c>
      <c r="N275" t="str">
        <v>https://img.kwcdn.com/product/fancy/0036d623-c57f-4308-a787-7316eb21229b.jpg</v>
      </c>
      <c r="O275" t="str">
        <v>https://www.temu.com/goods.html?goods_id=606744742857899</v>
      </c>
    </row>
    <row r="276">
      <c r="A276" t="str">
        <v>Computación</v>
      </c>
      <c r="B276" t="str">
        <v>laptop stand</v>
      </c>
      <c r="C276" t="str">
        <v>606758701523525</v>
      </c>
      <c r="D276" t="str">
        <v>Wooden Monitor Stand Riser, Desktop Computer Monitor Holder with Stable Metal Frame, Easy to Move Desk Shelf Organizer for Home Office Workspace, Laptop &amp; Screen Storage Support</v>
      </c>
      <c r="E276">
        <v>19.05</v>
      </c>
      <c r="H276">
        <f>IF(E276="","",ROUND(E276*Resumen!$B$3,2))</f>
      </c>
      <c r="K276">
        <v>0</v>
      </c>
      <c r="L276" t="str">
        <v>0</v>
      </c>
      <c r="M276" t="str">
        <v/>
      </c>
      <c r="N276" t="str">
        <v>https://img.kwcdn.com/product/fancy/f352ff54-da2d-4c61-8937-8dff3063fec5.jpg</v>
      </c>
      <c r="O276" t="str">
        <v>https://www.temu.com/goods.html?goods_id=606758701523525</v>
      </c>
    </row>
    <row r="277">
      <c r="A277" t="str">
        <v>Computación</v>
      </c>
      <c r="B277" t="str">
        <v>laptop stand</v>
      </c>
      <c r="C277" t="str">
        <v>606771586372309</v>
      </c>
      <c r="D277" t="str">
        <v>9pcs Carved Display Stand Mask Skull Vinyl Stickers | Self-adhesive, Suitable for Vehicles, Laptops, Phones, and Home Decor — Gothic Carved Display Stand for Scream Masks, Pumpkin Heads, and Skulls, Surrounded by Colorful Glitter Stars, Ornate Dark</v>
      </c>
      <c r="E277">
        <v>1.33</v>
      </c>
      <c r="H277">
        <f>IF(E277="","",ROUND(E277*Resumen!$B$3,2))</f>
      </c>
      <c r="K277">
        <v>0</v>
      </c>
      <c r="L277" t="str">
        <v>0</v>
      </c>
      <c r="M277" t="str">
        <v/>
      </c>
      <c r="N277" t="str">
        <v>https://img.kwcdn.com/product/open/c139900e23714868b74e4a27c48a25b8-goods.jpeg</v>
      </c>
      <c r="O277" t="str">
        <v>https://www.temu.com/goods.html?goods_id=606771586372309</v>
      </c>
    </row>
    <row r="278">
      <c r="A278" t="str">
        <v>Computación</v>
      </c>
      <c r="B278" t="str">
        <v>laptop stand</v>
      </c>
      <c r="C278" t="str">
        <v>606866075660579</v>
      </c>
      <c r="D278" t="str">
        <v>Vertical Laptop Stand - Dual-Slot Upright Computer Storage Holder, Desktop Laptop Vertical Stand, Space-Saving, Compatible with MacBook &amp; Most Laptops</v>
      </c>
      <c r="E278">
        <v>9.22</v>
      </c>
      <c r="H278">
        <f>IF(E278="","",ROUND(E278*Resumen!$B$3,2))</f>
      </c>
      <c r="K278">
        <v>0</v>
      </c>
      <c r="L278" t="str">
        <v>0</v>
      </c>
      <c r="M278" t="str">
        <v/>
      </c>
      <c r="N278" t="str">
        <v>https://img.kwcdn.com/product/open/9301e71b230e44b793170ecf3ac32fe4-goods.jpeg</v>
      </c>
      <c r="O278" t="str">
        <v>https://www.temu.com/goods.html?goods_id=606866075660579</v>
      </c>
    </row>
    <row r="279">
      <c r="A279" t="str">
        <v>Computación</v>
      </c>
      <c r="B279" t="str">
        <v>laptop stand</v>
      </c>
      <c r="C279" t="str">
        <v>606917615299674</v>
      </c>
      <c r="D279" t="str">
        <v>9pcs Pumpkin Magic Potion Bottle Squirrel Decorative Stickers, Self-Adhesive, Suitable for Vehicles, Laptops, Phones, and Home Decor, Watercolor Hand-Painted Style, Red Squirrel Standing on a Jack-o'-Lantern, Holding a Glowing Magic Potion Bottle</v>
      </c>
      <c r="E279">
        <v>1.33</v>
      </c>
      <c r="H279">
        <f>IF(E279="","",ROUND(E279*Resumen!$B$3,2))</f>
      </c>
      <c r="K279">
        <v>0</v>
      </c>
      <c r="L279" t="str">
        <v>0</v>
      </c>
      <c r="M279" t="str">
        <v/>
      </c>
      <c r="N279" t="str">
        <v>https://img.kwcdn.com/product/open/d7e6367d970e44a3837b008e4f354ea5-goods.jpeg</v>
      </c>
      <c r="O279" t="str">
        <v>https://www.temu.com/goods.html?goods_id=606917615299674</v>
      </c>
    </row>
    <row r="280">
      <c r="A280" t="str">
        <v>Computación</v>
      </c>
      <c r="B280" t="str">
        <v>laptop stand</v>
      </c>
      <c r="C280" t="str">
        <v>606976134206617</v>
      </c>
      <c r="D280" t="str">
        <v>[Steering Wheel Desk] Multifunctional Steering Wheel Additions | Car Mounted Steering Wheel Desk, Laptop Stand, Multifunctional Car Tray Storage Rack, Computer Desk Tray, Vehicle Interior Additions to Help You Rest Comfortably in The Car</v>
      </c>
      <c r="E280">
        <v>4.7</v>
      </c>
      <c r="F280">
        <v>39.99</v>
      </c>
      <c r="G280">
        <v>88.25</v>
      </c>
      <c r="H280">
        <f>IF(E280="","",ROUND(E280*Resumen!$B$3,2))</f>
      </c>
      <c r="K280">
        <v>0</v>
      </c>
      <c r="L280" t="str">
        <v>0</v>
      </c>
      <c r="M280" t="str">
        <v/>
      </c>
      <c r="N280" t="str">
        <v>https://img.kwcdn.com/product/open/25b279ae92a24c28b11e404480bf1397-goods.jpeg</v>
      </c>
      <c r="O280" t="str">
        <v>https://www.temu.com/goods.html?goods_id=606976134206617</v>
      </c>
    </row>
    <row r="281">
      <c r="A281" t="str">
        <v>Computación</v>
      </c>
      <c r="B281" t="str">
        <v>laptop stand</v>
      </c>
      <c r="C281" t="str">
        <v>607050759252676</v>
      </c>
      <c r="D281" t="str">
        <v>Wooden Monitor Stand Riser, Desktop Computer Monitor Holder with Stable Metal Frame, Easy to Move Desk Shelf Organizer for Home Office Workspace, Laptop &amp; Screen Storage Support</v>
      </c>
      <c r="E281">
        <v>19.05</v>
      </c>
      <c r="H281">
        <f>IF(E281="","",ROUND(E281*Resumen!$B$3,2))</f>
      </c>
      <c r="K281">
        <v>0</v>
      </c>
      <c r="L281" t="str">
        <v>0</v>
      </c>
      <c r="M281" t="str">
        <v/>
      </c>
      <c r="N281" t="str">
        <v>https://img.kwcdn.com/product/fancy/e6948b42-ac23-40eb-a184-99b58d1e27f7.jpg</v>
      </c>
      <c r="O281" t="str">
        <v>https://www.temu.com/goods.html?goods_id=607050759252676</v>
      </c>
    </row>
    <row r="282">
      <c r="A282" t="str">
        <v>Computación</v>
      </c>
      <c r="B282" t="str">
        <v>laptop stand</v>
      </c>
      <c r="C282" t="str">
        <v>607057738623528</v>
      </c>
      <c r="D282" t="str">
        <v>2pcs Light Bulb Owl "for THINK Outside the Box" Vinyl Stickers | Suitable for Vehicles, Laptops, Phones, and Home Decor — Owl Standing Above Books with an Inspiration Light Bulb Above Its Head, "for THINK Outside the BOX" Motivational English Text</v>
      </c>
      <c r="E282">
        <v>1.01</v>
      </c>
      <c r="H282">
        <f>IF(E282="","",ROUND(E282*Resumen!$B$3,2))</f>
      </c>
      <c r="K282">
        <v>0</v>
      </c>
      <c r="L282" t="str">
        <v>0</v>
      </c>
      <c r="M282" t="str">
        <v/>
      </c>
      <c r="N282" t="str">
        <v>https://img.kwcdn.com/product/open/80934fd3cb264f0e93b132e320de6715-goods.jpeg</v>
      </c>
      <c r="O282" t="str">
        <v>https://www.temu.com/goods.html?goods_id=607057738623528</v>
      </c>
    </row>
    <row r="283">
      <c r="A283" t="str">
        <v>Computación</v>
      </c>
      <c r="B283" t="str">
        <v>laptop stand</v>
      </c>
      <c r="C283" t="str">
        <v>607066328561900</v>
      </c>
      <c r="D283" t="str">
        <v>(3pcs) 'Still I Stand Up' Stickers, Inspirational Quotes, Inspirational Stickers, Stickers, Books, Laptops, Mobile Phones, Water Bottles, Cups, 3 Inches</v>
      </c>
      <c r="E283">
        <v>2.81</v>
      </c>
      <c r="F283">
        <v>8.99</v>
      </c>
      <c r="G283">
        <v>68.74</v>
      </c>
      <c r="H283">
        <f>IF(E283="","",ROUND(E283*Resumen!$B$3,2))</f>
      </c>
      <c r="K283">
        <v>0</v>
      </c>
      <c r="L283" t="str">
        <v>0</v>
      </c>
      <c r="M283" t="str">
        <v/>
      </c>
      <c r="N283" t="str">
        <v>https://img.kwcdn.com/product/open/50d3922d690c4d90a016f852616826b6-goods.jpeg</v>
      </c>
      <c r="O283" t="str">
        <v>https://www.temu.com/goods.html?goods_id=607066328561900</v>
      </c>
    </row>
    <row r="284">
      <c r="A284" t="str">
        <v>Computación</v>
      </c>
      <c r="B284" t="str">
        <v>laptop stand</v>
      </c>
      <c r="C284" t="str">
        <v>607074381614881</v>
      </c>
      <c r="D284" t="str">
        <v>Acrylic Folding Tray Table with Iridescent Color, Portable Laptop Stand for Bed, Sofa and Floor, 22.05LB Capacity Sturdy Side Table, Space Saving Foldable Desk for Office, Dorm, Picnic, Durable Easy Clean Acrylic</v>
      </c>
      <c r="E284">
        <v>74.88</v>
      </c>
      <c r="H284">
        <f>IF(E284="","",ROUND(E284*Resumen!$B$3,2))</f>
      </c>
      <c r="K284">
        <v>0</v>
      </c>
      <c r="L284" t="str">
        <v>0</v>
      </c>
      <c r="M284" t="str">
        <v/>
      </c>
      <c r="N284" t="str">
        <v>https://img.kwcdn.com/product/open/1cfcb3bce0ee47d9b69aee7026ae355e-goods.jpeg</v>
      </c>
      <c r="O284" t="str">
        <v>https://www.temu.com/goods.html?goods_id=607074381614881</v>
      </c>
    </row>
    <row r="285">
      <c r="A285" t="str">
        <v>Computación</v>
      </c>
      <c r="B285" t="str">
        <v>laptop stand</v>
      </c>
      <c r="C285" t="str">
        <v>607081360889691</v>
      </c>
      <c r="D285" t="str">
        <v>Standing Desk Adjustable Height, Portable Standing Desk with Wheels And Storage Bag, Mobile Desk Workstation 24 X 16 Inches, Mobile Standing Desk Rolling Adjustable Laptop Cart Home Office, Brown, Black</v>
      </c>
      <c r="E285">
        <v>39.72</v>
      </c>
      <c r="H285">
        <f>IF(E285="","",ROUND(E285*Resumen!$B$3,2))</f>
      </c>
      <c r="K285">
        <v>0</v>
      </c>
      <c r="L285" t="str">
        <v>0</v>
      </c>
      <c r="M285" t="str">
        <v/>
      </c>
      <c r="N285" t="str">
        <v>https://img.kwcdn.com/product/open/2024-09-10/1725949058792-d4864066140a41db9959fd8eb7faf5d1-goods.jpeg</v>
      </c>
      <c r="O285" t="str">
        <v>https://www.temu.com/goods.html?goods_id=607081360889691</v>
      </c>
    </row>
    <row r="286">
      <c r="A286" t="str">
        <v>Computación</v>
      </c>
      <c r="B286" t="str">
        <v>laptop stand</v>
      </c>
      <c r="C286" t="str">
        <v>607114110016187</v>
      </c>
      <c r="D286" t="str">
        <v>Standing Desk, Adjustable Height Mobile Stand Up Desks with Wheels 31-43" Height Adjustable Mobile Stand Up Desk 32 Inch Metal Frame Portable Laptop Table Workstations Home Office</v>
      </c>
      <c r="E286">
        <v>70.18</v>
      </c>
      <c r="H286">
        <f>IF(E286="","",ROUND(E286*Resumen!$B$3,2))</f>
      </c>
      <c r="K286">
        <v>0</v>
      </c>
      <c r="L286" t="str">
        <v>0</v>
      </c>
      <c r="M286" t="str">
        <v/>
      </c>
      <c r="N286" t="str">
        <v>https://img.kwcdn.com/product/open/75ba37f3df3a40cfb14935673dfdcea0-goods.jpeg</v>
      </c>
      <c r="O286" t="str">
        <v>https://www.temu.com/goods.html?goods_id=607114110016187</v>
      </c>
    </row>
    <row r="287">
      <c r="A287" t="str">
        <v>Computación</v>
      </c>
      <c r="B287" t="str">
        <v>laptop stand</v>
      </c>
      <c r="C287" t="str">
        <v>607124209903817</v>
      </c>
      <c r="D287" t="str">
        <v>Laptop Pillowcase - Comfortable Mattress for Reading And Watching Videos, Durable Material, Adjustable Angle Tablet Stand for Easy Reading, Electronic Computer Additions, Bedside Tablet Stand, Available in Blue And Gray</v>
      </c>
      <c r="E287">
        <v>10.96</v>
      </c>
      <c r="F287">
        <v>27.09</v>
      </c>
      <c r="G287">
        <v>59.54</v>
      </c>
      <c r="H287">
        <f>IF(E287="","",ROUND(E287*Resumen!$B$3,2))</f>
      </c>
      <c r="K287">
        <v>0</v>
      </c>
      <c r="L287" t="str">
        <v>0</v>
      </c>
      <c r="M287" t="str">
        <v/>
      </c>
      <c r="N287" t="str">
        <v>https://img.kwcdn.com/product/fancy/70fdfec3-3736-43ca-a48a-55df9c808e2f.jpg</v>
      </c>
      <c r="O287" t="str">
        <v>https://www.temu.com/goods.html?goods_id=607124209903817</v>
      </c>
    </row>
    <row r="288">
      <c r="A288" t="str">
        <v>Computación</v>
      </c>
      <c r="B288" t="str">
        <v>laptop stand</v>
      </c>
      <c r="C288" t="str">
        <v>607150080424820</v>
      </c>
      <c r="D288" t="str">
        <v>2pcs Realistic Cartoon Penguin Animal Vinyl Stickers | Suitable for Vehicles, Laptops, Phones, And Home Decor - Standing Black And White Penguin Hand-Drawn Illustration, Orange Beak And Feet, Delicate Feather Texture</v>
      </c>
      <c r="E288">
        <v>1.24</v>
      </c>
      <c r="H288">
        <f>IF(E288="","",ROUND(E288*Resumen!$B$3,2))</f>
      </c>
      <c r="K288">
        <v>0</v>
      </c>
      <c r="L288" t="str">
        <v>0</v>
      </c>
      <c r="M288" t="str">
        <v/>
      </c>
      <c r="N288" t="str">
        <v>https://img.kwcdn.com/product/open/bfd9843d13c4475991ee2b9025aa6e07-goods.jpeg</v>
      </c>
      <c r="O288" t="str">
        <v>https://www.temu.com/goods.html?goods_id=607150080424820</v>
      </c>
    </row>
    <row r="289">
      <c r="A289" t="str">
        <v>Computación</v>
      </c>
      <c r="B289" t="str">
        <v>laptop stand</v>
      </c>
      <c r="C289" t="str">
        <v>607256917687749</v>
      </c>
      <c r="D289" t="str">
        <v>120-inch Portable Projector Screen with Stand Suitable for Home Theater, Wrinkle-Free HD Projection Screen, 4K Compatible Picture for Indoor/Outdoor Movies, Compatible for Smartphones/Laptops/Projectors, Easy Setup (No Electronics)</v>
      </c>
      <c r="E289">
        <v>46.21</v>
      </c>
      <c r="H289">
        <f>IF(E289="","",ROUND(E289*Resumen!$B$3,2))</f>
      </c>
      <c r="K289">
        <v>0</v>
      </c>
      <c r="L289" t="str">
        <v>0</v>
      </c>
      <c r="M289" t="str">
        <v/>
      </c>
      <c r="N289" t="str">
        <v>https://img.kwcdn.com/product/fancy/dff846c9-53d4-49f2-b8fd-63a83e916e4a.jpg</v>
      </c>
      <c r="O289" t="str">
        <v>https://www.temu.com/goods.html?goods_id=607256917687749</v>
      </c>
    </row>
    <row r="290">
      <c r="A290" t="str">
        <v>Computación</v>
      </c>
      <c r="B290" t="str">
        <v>laptop stand</v>
      </c>
      <c r="C290" t="str">
        <v>607315436625789</v>
      </c>
      <c r="D290" t="str">
        <v>2pcs Moonlit Night Lone Wolf on Starry Lake Scenery Vinyl Sticker | Suitable for Vehicles, Laptops, Phones, and Home Decor — Wild Wolf Standing on a Waterside Rock, Night Sky Filled with Shooting Stars and Stars, Reflection of a Dead Tree</v>
      </c>
      <c r="E290">
        <v>1.01</v>
      </c>
      <c r="H290">
        <f>IF(E290="","",ROUND(E290*Resumen!$B$3,2))</f>
      </c>
      <c r="K290">
        <v>0</v>
      </c>
      <c r="L290" t="str">
        <v>0</v>
      </c>
      <c r="M290" t="str">
        <v/>
      </c>
      <c r="N290" t="str">
        <v>https://img.kwcdn.com/product/open/9356f907af2d418fb6a40c7fb53d18e5-goods.jpeg</v>
      </c>
      <c r="O290" t="str">
        <v>https://www.temu.com/goods.html?goods_id=607315436625789</v>
      </c>
    </row>
    <row r="291">
      <c r="A291" t="str">
        <v>Computación</v>
      </c>
      <c r="B291" t="str">
        <v>laptop stand</v>
      </c>
      <c r="C291" t="str">
        <v>607333153353117</v>
      </c>
      <c r="D291" t="str">
        <v>Multifunctional Foldable Tablet Stand- Suitable for Various Electronic Devices, Lightweight Laptop, Tablet Support, Smooth Operation, Comfortable Design, Ideal for Relaxed Days</v>
      </c>
      <c r="E291">
        <v>1.17</v>
      </c>
      <c r="H291">
        <f>IF(E291="","",ROUND(E291*Resumen!$B$3,2))</f>
      </c>
      <c r="K291">
        <v>0</v>
      </c>
      <c r="L291" t="str">
        <v>0</v>
      </c>
      <c r="M291" t="str">
        <v/>
      </c>
      <c r="N291" t="str">
        <v>https://img.kwcdn.com/product/fancy/7bef1c8e-1e13-44cd-bee5-fd2648ff5043.jpg</v>
      </c>
      <c r="O291" t="str">
        <v>https://www.temu.com/goods.html?goods_id=607333153353117</v>
      </c>
    </row>
    <row r="292">
      <c r="A292" t="str">
        <v>Computación</v>
      </c>
      <c r="B292" t="str">
        <v>laptop stand</v>
      </c>
      <c r="C292" t="str">
        <v>607428716426615</v>
      </c>
      <c r="D292" t="str">
        <v>9pcs Steampunk Crow Lavender Decorative Stickers | Self-Adhesive, Suitable for Cars, Laptops, Phones, And Home Decor, Crow with Plague Mask Standing on Glowing Mushroom, Pocket Watch with Lavender Bouquet, Retro Steampunk Style</v>
      </c>
      <c r="E292">
        <v>1.33</v>
      </c>
      <c r="H292">
        <f>IF(E292="","",ROUND(E292*Resumen!$B$3,2))</f>
      </c>
      <c r="K292">
        <v>0</v>
      </c>
      <c r="L292" t="str">
        <v>0</v>
      </c>
      <c r="M292" t="str">
        <v/>
      </c>
      <c r="N292" t="str">
        <v>https://img.kwcdn.com/product/algo_check/auto/59399f747b782ecd046de45cec21c8f0_1790101883160.jpg</v>
      </c>
      <c r="O292" t="str">
        <v>https://www.temu.com/goods.html?goods_id=607428716426615</v>
      </c>
    </row>
    <row r="293">
      <c r="A293" t="str">
        <v>Computación</v>
      </c>
      <c r="B293" t="str">
        <v>laptop stand</v>
      </c>
      <c r="C293" t="str">
        <v>607444822520582</v>
      </c>
      <c r="D293" t="str">
        <v>3 Heartwarming Sunflower Laptop Stickers - 'Stand Near Those Who Feel Like Sunshine' Introduction Vinyl Sticker - Waterproof Attractive Decor, Suitable for Laptop - Girl Teen Positive Energy Sticker - No Residue Laptop Sticker</v>
      </c>
      <c r="E293">
        <v>2.19</v>
      </c>
      <c r="H293">
        <f>IF(E293="","",ROUND(E293*Resumen!$B$3,2))</f>
      </c>
      <c r="K293">
        <v>0</v>
      </c>
      <c r="L293" t="str">
        <v>0</v>
      </c>
      <c r="M293" t="str">
        <v/>
      </c>
      <c r="N293" t="str">
        <v>https://img.kwcdn.com/product/open/1ffc8635a6fa4b15bba76b6bd7ba8ba9-goods.jpeg</v>
      </c>
      <c r="O293" t="str">
        <v>https://www.temu.com/goods.html?goods_id=607444822520582</v>
      </c>
    </row>
    <row r="294">
      <c r="A294" t="str">
        <v>Computación</v>
      </c>
      <c r="B294" t="str">
        <v>laptop stand</v>
      </c>
      <c r="C294" t="str">
        <v>607470592347952</v>
      </c>
      <c r="D294" t="str">
        <v>Multifunctional Foldable Tablet Stand- Suitable for Various Electronic Devices, Lightweight Laptop, Tablet Support, Smooth Operation, Comfortable Design, Ideal for Relaxed Days</v>
      </c>
      <c r="E294">
        <v>1.41</v>
      </c>
      <c r="H294">
        <f>IF(E294="","",ROUND(E294*Resumen!$B$3,2))</f>
      </c>
      <c r="K294">
        <v>0</v>
      </c>
      <c r="L294" t="str">
        <v>0</v>
      </c>
      <c r="M294" t="str">
        <v/>
      </c>
      <c r="N294" t="str">
        <v>https://img.kwcdn.com/product/fancy/7bef1c8e-1e13-44cd-bee5-fd2648ff5043.jpg</v>
      </c>
      <c r="O294" t="str">
        <v>https://www.temu.com/goods.html?goods_id=607470592347952</v>
      </c>
    </row>
    <row r="295">
      <c r="A295" t="str">
        <v>Computación</v>
      </c>
      <c r="B295" t="str">
        <v>laptop stand</v>
      </c>
      <c r="C295" t="str">
        <v>607497435874408</v>
      </c>
      <c r="D295" t="str">
        <v>Premium Templar Christian Sticker - 'Those Who Kneel Before God Stand Before Anyone' - Durable Waterproof Vinyl Decal for Car Doors, Windows, Laptops - 12 Inches</v>
      </c>
      <c r="E295">
        <v>6.99</v>
      </c>
      <c r="H295">
        <f>IF(E295="","",ROUND(E295*Resumen!$B$3,2))</f>
      </c>
      <c r="K295">
        <v>0</v>
      </c>
      <c r="L295" t="str">
        <v>0</v>
      </c>
      <c r="M295" t="str">
        <v/>
      </c>
      <c r="N295" t="str">
        <v>https://img.kwcdn.com/product/open/51687ef8f16f4fa88f93f65093b14eb7-goods.jpeg</v>
      </c>
      <c r="O295" t="str">
        <v>https://www.temu.com/goods.html?goods_id=607497435874408</v>
      </c>
    </row>
    <row r="296">
      <c r="A296" t="str">
        <v>Computación</v>
      </c>
      <c r="B296" t="str">
        <v>laptop stand</v>
      </c>
      <c r="C296" t="str">
        <v>607548975474482</v>
      </c>
      <c r="D296" t="str">
        <v>2D Flat Sticker-Cute Hotdog Sticker, Kawaii Food Stickers, Smiling Hot Dog, Foodie Gift, Concession Stand Vinyl Sticker, Funny Laptop Stickers, Bottle Decal MP3 Player Decal, 2D Flat</v>
      </c>
      <c r="E296">
        <v>1.31</v>
      </c>
      <c r="H296">
        <f>IF(E296="","",ROUND(E296*Resumen!$B$3,2))</f>
      </c>
      <c r="K296">
        <v>0</v>
      </c>
      <c r="L296" t="str">
        <v>0</v>
      </c>
      <c r="M296" t="str">
        <v/>
      </c>
      <c r="N296" t="str">
        <v>https://img.kwcdn.com/product/open/1c71df5d278e456d961ab0cc28f19a7a-goods.jpeg</v>
      </c>
      <c r="O296" t="str">
        <v>https://www.temu.com/goods.html?goods_id=607548975474482</v>
      </c>
    </row>
    <row r="297">
      <c r="A297" t="str">
        <v>Computación</v>
      </c>
      <c r="B297" t="str">
        <v>laptop stand</v>
      </c>
      <c r="C297" t="str">
        <v>607566155361859</v>
      </c>
      <c r="D297" t="str">
        <v>9pcs Ink Wash Style Qing Dynasty Official Uniform Skeleton Zombie Standing Under a Full Moon Round Emblem, Waterproof Decorative Decals for Car Windows, Vehicle Body, Laptops, and Luggage</v>
      </c>
      <c r="E297">
        <v>1.98</v>
      </c>
      <c r="H297">
        <f>IF(E297="","",ROUND(E297*Resumen!$B$3,2))</f>
      </c>
      <c r="K297">
        <v>0</v>
      </c>
      <c r="L297" t="str">
        <v>0</v>
      </c>
      <c r="M297" t="str">
        <v/>
      </c>
      <c r="N297" t="str">
        <v>https://img.kwcdn.com/product/open/3a694781a53f4277ac9ad6bde0884cc4-goods.jpeg</v>
      </c>
      <c r="O297" t="str">
        <v>https://www.temu.com/goods.html?goods_id=607566155361859</v>
      </c>
    </row>
    <row r="298">
      <c r="A298" t="str">
        <v>Computación</v>
      </c>
      <c r="B298" t="str">
        <v>laptop stand</v>
      </c>
      <c r="C298" t="str">
        <v>607608031275166</v>
      </c>
      <c r="D298" t="str">
        <v>Ergonomic Adjustable Metal Laptop Stand, Foldable Portable Laptop Riser Ventilated Cooling Notebook Holder Anti-Slip Computer Desk Stand Compatible with 10-15. 6 Inch Macbook Dell HP Lenovo Laptops for Office Home Travel</v>
      </c>
      <c r="E298">
        <v>14.98</v>
      </c>
      <c r="H298">
        <f>IF(E298="","",ROUND(E298*Resumen!$B$3,2))</f>
      </c>
      <c r="K298">
        <v>0</v>
      </c>
      <c r="L298" t="str">
        <v>0</v>
      </c>
      <c r="M298" t="str">
        <v/>
      </c>
      <c r="N298" t="str">
        <v>https://img.kwcdn.com/product/fancy/dc4a1ed0-8482-460d-8433-1234b0cbe487.jpg</v>
      </c>
      <c r="O298" t="str">
        <v>https://www.temu.com/goods.html?goods_id=607608031275166</v>
      </c>
    </row>
    <row r="299">
      <c r="A299" t="str">
        <v>Computación</v>
      </c>
      <c r="B299" t="str">
        <v>laptop stand</v>
      </c>
      <c r="C299" t="str">
        <v>607681045705674</v>
      </c>
      <c r="D299" t="str">
        <v>6-Slot Vertical Laptop Stand and Holder Adjustable Aluminum Laptop Stand Vertical for Desk Fits 6 Devices MacBook and Gaming Laptops Up to 17.3' Space Saving Laptop Storage Rack - Grey</v>
      </c>
      <c r="E299">
        <v>126.25</v>
      </c>
      <c r="H299">
        <f>IF(E299="","",ROUND(E299*Resumen!$B$3,2))</f>
      </c>
      <c r="K299">
        <v>0</v>
      </c>
      <c r="L299" t="str">
        <v>0</v>
      </c>
      <c r="M299" t="str">
        <v/>
      </c>
      <c r="N299" t="str">
        <v>https://img.kwcdn.com/product/open/d75d040e2ed74417864bad774d998990-goods.jpeg</v>
      </c>
      <c r="O299" t="str">
        <v>https://www.temu.com/goods.html?goods_id=607681045705674</v>
      </c>
    </row>
    <row r="300">
      <c r="A300" t="str">
        <v>Computación</v>
      </c>
      <c r="B300" t="str">
        <v>laptop stand</v>
      </c>
      <c r="C300" t="str">
        <v>609942446650777</v>
      </c>
      <c r="D300" t="str">
        <v>Transparent Acrylic Monitor Elevation Stand, Adjustable Dual Desktop &amp; Off-Surface Shelves with Non-Slip Mat, High-Quality Desk Organizer for Home Office, Laptops, Pcs, Printers, And Tvs</v>
      </c>
      <c r="E300">
        <v>12.56</v>
      </c>
      <c r="H300">
        <f>IF(E300="","",ROUND(E300*Resumen!$B$3,2))</f>
      </c>
      <c r="K300">
        <v>0</v>
      </c>
      <c r="L300" t="str">
        <v>0</v>
      </c>
      <c r="M300" t="str">
        <v/>
      </c>
      <c r="N300" t="str">
        <v>https://img.kwcdn.com/local-goods-image/211523414d8/32a03c1b-20a1-4692-901d-357c3930426b_800x800.png</v>
      </c>
      <c r="O300" t="str">
        <v>https://www.temu.com/goods.html?goods_id=609942446650777</v>
      </c>
    </row>
    <row r="301">
      <c r="A301" t="str">
        <v>Computación</v>
      </c>
      <c r="B301" t="str">
        <v>laptop stand</v>
      </c>
      <c r="C301" t="str">
        <v>609942446695359</v>
      </c>
      <c r="D301" t="str">
        <v>Alogic Elite Power Laptop Stand with Wireless Charger - EPLSWCWH</v>
      </c>
      <c r="E301">
        <v>90.58</v>
      </c>
      <c r="H301">
        <f>IF(E301="","",ROUND(E301*Resumen!$B$3,2))</f>
      </c>
      <c r="K301">
        <v>0</v>
      </c>
      <c r="L301" t="str">
        <v>0</v>
      </c>
      <c r="M301" t="str">
        <v/>
      </c>
      <c r="N301" t="str">
        <v>https://img.kwcdn.com/local-goods-image/c6fed9d4/cb2f52b9-6343-440d-a9c8-e5871cf0444e.jpeg</v>
      </c>
      <c r="O301" t="str">
        <v>https://www.temu.com/goods.html?goods_id=609942446695359</v>
      </c>
    </row>
    <row r="302">
      <c r="A302" t="str">
        <v>Computación</v>
      </c>
      <c r="B302" t="str">
        <v>laptop stand</v>
      </c>
      <c r="C302" t="str">
        <v>610217324561287</v>
      </c>
      <c r="D302" t="str">
        <v>VEVOR Projector Stand, 2 Shelves Laptop Floor Stand, Projector Stands Table with Adjustable Height 33.86 to 53.54 inch, I-Beam Frame Projectors Stands Tripod for Meetings, Outdoor Movies, Video Stand</v>
      </c>
      <c r="E302">
        <v>495.36</v>
      </c>
      <c r="H302">
        <f>IF(E302="","",ROUND(E302*Resumen!$B$3,2))</f>
      </c>
      <c r="K302">
        <v>0</v>
      </c>
      <c r="L302" t="str">
        <v>0</v>
      </c>
      <c r="M302" t="str">
        <v/>
      </c>
      <c r="N302" t="str">
        <v>https://img.kwcdn.com/local-goods-image/211523414d8/61d6b2c3-6c64-48af-8fb4-d81a9a873f31_1600x1600.jpeg.format.jpg</v>
      </c>
      <c r="O302" t="str">
        <v>https://www.temu.com/goods.html?goods_id=610217324561287</v>
      </c>
    </row>
    <row r="303">
      <c r="A303" t="str">
        <v>Computación</v>
      </c>
      <c r="B303" t="str">
        <v>laptop stand</v>
      </c>
      <c r="C303" t="str">
        <v>610432072970631</v>
      </c>
      <c r="D303" t="str">
        <v>STANDING DESK CONVERTER FOR LAPTOP - UP TO 8KG/17.6LB - HEIGHT ADJUSTABLE LAPTOP</v>
      </c>
      <c r="E303">
        <v>275.99</v>
      </c>
      <c r="H303">
        <f>IF(E303="","",ROUND(E303*Resumen!$B$3,2))</f>
      </c>
      <c r="K303">
        <v>0</v>
      </c>
      <c r="L303" t="str">
        <v>0</v>
      </c>
      <c r="M303" t="str">
        <v/>
      </c>
      <c r="N303" t="str">
        <v>https://img.kwcdn.com/local-goods-image/57eeea53/3beb2559-f4dd-4598-b380-52d0ca36afff/1504e263441b21626b3c6930f386b26c.webp.a.jpg</v>
      </c>
      <c r="O303" t="str">
        <v>https://www.temu.com/goods.html?goods_id=610432072970631</v>
      </c>
    </row>
    <row r="304">
      <c r="A304" t="str">
        <v>Computación</v>
      </c>
      <c r="B304" t="str">
        <v>laptop stand</v>
      </c>
      <c r="C304" t="str">
        <v>610492202451754</v>
      </c>
      <c r="D304" t="str">
        <v>Adjustable Clear Acrylic Monitor Stand Riser, Extendable 3-Section Desktop Shelf for Computer, Laptop &amp; Home Office Desk</v>
      </c>
      <c r="E304">
        <v>12.56</v>
      </c>
      <c r="H304">
        <f>IF(E304="","",ROUND(E304*Resumen!$B$3,2))</f>
      </c>
      <c r="K304">
        <v>0</v>
      </c>
      <c r="L304" t="str">
        <v>0</v>
      </c>
      <c r="M304" t="str">
        <v/>
      </c>
      <c r="N304" t="str">
        <v>https://img.kwcdn.com/local-goods-image/211523414d8/ac6b1e9c-35af-4b5b-b2bd-85da1bcd8a15_1254x1254.png</v>
      </c>
      <c r="O304" t="str">
        <v>https://www.temu.com/goods.html?goods_id=610492202451754</v>
      </c>
    </row>
    <row r="305">
      <c r="A305" t="str">
        <v>Computación</v>
      </c>
      <c r="B305" t="str">
        <v>laptop stand</v>
      </c>
      <c r="C305" t="str">
        <v>610492202509014</v>
      </c>
      <c r="D305" t="str">
        <v>16" Laptop Screen Extender, 1920x1200 FHD Portable for Laptop, 360? Stand Travel Second Screen for, Phone</v>
      </c>
      <c r="E305">
        <v>202.37</v>
      </c>
      <c r="H305">
        <f>IF(E305="","",ROUND(E305*Resumen!$B$3,2))</f>
      </c>
      <c r="K305">
        <v>0</v>
      </c>
      <c r="L305" t="str">
        <v>0</v>
      </c>
      <c r="M305" t="str">
        <v/>
      </c>
      <c r="N305" t="str">
        <v>https://img.kwcdn.com/local-goods-image/461806c6/f90312b9-8bb1-47ad-a6d8-760e97689046.jpeg</v>
      </c>
      <c r="O305" t="str">
        <v>https://www.temu.com/goods.html?goods_id=610492202509014</v>
      </c>
    </row>
    <row r="306">
      <c r="A306" t="str">
        <v>Computación</v>
      </c>
      <c r="B306" t="str">
        <v>laptop stand</v>
      </c>
      <c r="C306" t="str">
        <v>610706950833570</v>
      </c>
      <c r="D306" t="str">
        <v>MOBILE PROJECTOR AND LAPTOP STAND/CART</v>
      </c>
      <c r="E306">
        <v>246.71</v>
      </c>
      <c r="H306">
        <f>IF(E306="","",ROUND(E306*Resumen!$B$3,2))</f>
      </c>
      <c r="K306">
        <v>0</v>
      </c>
      <c r="L306" t="str">
        <v>0</v>
      </c>
      <c r="M306" t="str">
        <v/>
      </c>
      <c r="N306" t="str">
        <v>https://img.kwcdn.com/local-goods-image/cbb601b8/cccad467-ffb5-4143-b3b0-1404695a964d/0800279f5418d8378c35368f7365a636.webp.a.jpg</v>
      </c>
      <c r="O306" t="str">
        <v>https://www.temu.com/goods.html?goods_id=610706950833570</v>
      </c>
    </row>
    <row r="307">
      <c r="A307" t="str">
        <v>Computación</v>
      </c>
      <c r="B307" t="str">
        <v>laptop stand</v>
      </c>
      <c r="C307" t="str">
        <v>610767080411241</v>
      </c>
      <c r="D307" t="str">
        <v>Projector Stand, Laptop Stand Tripod Adjustable Height 26. 97 to 63 in, Portable Projector Tripod with Tray &amp; Gooseneck Phone Holder, for Outdoor Movies, Office, Stage or Studio</v>
      </c>
      <c r="E307">
        <v>92.72</v>
      </c>
      <c r="H307">
        <f>IF(E307="","",ROUND(E307*Resumen!$B$3,2))</f>
      </c>
      <c r="K307">
        <v>0</v>
      </c>
      <c r="L307" t="str">
        <v>0</v>
      </c>
      <c r="M307" t="str">
        <v/>
      </c>
      <c r="N307" t="str">
        <v>https://img.kwcdn.com/local-goods-image/463bfd30/1acb29f0-3c94-4274-ad4e-3e262b281b01.jpeg</v>
      </c>
      <c r="O307" t="str">
        <v>https://www.temu.com/goods.html?goods_id=610767080411241</v>
      </c>
    </row>
    <row r="308">
      <c r="A308" t="str">
        <v>Computación</v>
      </c>
      <c r="B308" t="str">
        <v>usb hub</v>
      </c>
      <c r="C308" t="str">
        <v>601099531738484</v>
      </c>
      <c r="D308" t="str">
        <v>2.0 Rotating 3-Port USB Hub with * Base, * for Laptops &amp; Desktops, * *, Durable Construction, Compatible with USB-C &amp; USB-A Devices, Laptop Accessory, Modern Accessory, Sturdy Construction</v>
      </c>
      <c r="E308">
        <v>1.33</v>
      </c>
      <c r="F308">
        <v>2.73</v>
      </c>
      <c r="G308">
        <v>51.28</v>
      </c>
      <c r="H308">
        <f>IF(E308="","",ROUND(E308*Resumen!$B$3,2))</f>
      </c>
      <c r="I308">
        <v>4.8</v>
      </c>
      <c r="J308">
        <v>1290</v>
      </c>
      <c r="L308" t="str">
        <v>+ sold</v>
      </c>
      <c r="M308" t="str">
        <v/>
      </c>
      <c r="N308" t="str">
        <v>https://img.kwcdn.com/product/Fancyalgo/VirtualModelMatting/118b643142e4c0d8375af40d4f7901d6.jpg</v>
      </c>
      <c r="O308" t="str">
        <v>https://www.temu.com/goods.html?goods_id=601099531738484</v>
      </c>
    </row>
    <row r="309">
      <c r="A309" t="str">
        <v>Computación</v>
      </c>
      <c r="B309" t="str">
        <v>keyboard</v>
      </c>
      <c r="C309" t="str">
        <v>602294896681813</v>
      </c>
      <c r="D309" t="str">
        <v>* * Extreme Wireless Mechanical Gaming Keyboard – 75% TKL, ROG NX Storm Clicky Switches, PBT Keycaps, Aluminum Chassis, Carbon Fiber, Gasket Mount, Color OLED Screen, PC/* Support - Black</v>
      </c>
      <c r="E309">
        <v>630.74</v>
      </c>
      <c r="H309">
        <f>IF(E309="","",ROUND(E309*Resumen!$B$3,2))</f>
      </c>
      <c r="L309" t="str">
        <v/>
      </c>
      <c r="M309" t="str">
        <v/>
      </c>
      <c r="N309" t="str">
        <v>https://img.kwcdn.com/local-goods-image/37e780c9/bd4a4298-3f7b-48d4-a71c-b6bbe9ae4490.jpeg</v>
      </c>
      <c r="O309" t="str">
        <v>https://www.temu.com/goods.html?goods_id=602294896681813</v>
      </c>
    </row>
    <row r="310">
      <c r="A310" t="str">
        <v>Computación</v>
      </c>
      <c r="B310" t="str">
        <v>keyboard</v>
      </c>
      <c r="C310" t="str">
        <v>602862402806860</v>
      </c>
      <c r="D310" t="str">
        <v>* Ergonomic Usb Touchpad Keyboard, With Split Key Zones And *</v>
      </c>
      <c r="E310">
        <v>96.49</v>
      </c>
      <c r="F310">
        <v>126.63</v>
      </c>
      <c r="G310">
        <v>23.8</v>
      </c>
      <c r="H310">
        <f>IF(E310="","",ROUND(E310*Resumen!$B$3,2))</f>
      </c>
      <c r="L310" t="str">
        <v/>
      </c>
      <c r="M310" t="str">
        <v/>
      </c>
      <c r="N310" t="str">
        <v>https://img.kwcdn.com/local-goods-image/acb2a17d/79e67692-1375-415e-9350-c532cd092f4a.jpeg</v>
      </c>
      <c r="O310" t="str">
        <v>https://www.temu.com/goods.html?goods_id=602862402806860</v>
      </c>
    </row>
    <row r="311">
      <c r="A311" t="str">
        <v>Computación</v>
      </c>
      <c r="B311" t="str">
        <v>keyboard</v>
      </c>
      <c r="C311" t="str">
        <v>606409852831806</v>
      </c>
      <c r="D311" t="str">
        <v>* Gaming Keyboard with RGB Side Lighting Strip + Multimedia Dial, Full-key Anti-ghosting, Type-C Charging, 2.4G Wireless, Bluetooth 5.1, Adjustable Backlight, Compatible with PC/console</v>
      </c>
      <c r="E311">
        <v>20.88</v>
      </c>
      <c r="F311">
        <v>72.27</v>
      </c>
      <c r="G311">
        <v>71.11</v>
      </c>
      <c r="H311">
        <f>IF(E311="","",ROUND(E311*Resumen!$B$3,2))</f>
      </c>
      <c r="I311">
        <v>5</v>
      </c>
      <c r="J311">
        <v>6</v>
      </c>
      <c r="L311" t="str">
        <v/>
      </c>
      <c r="M311" t="str">
        <v/>
      </c>
      <c r="N311" t="str">
        <v>https://img.kwcdn.com/product/fancy/f8643f5b-0cc8-4ed5-8d08-f2e188a63213.jpg</v>
      </c>
      <c r="O311" t="str">
        <v>https://www.temu.com/goods.html?goods_id=606409852831806</v>
      </c>
    </row>
    <row r="312">
      <c r="A312" t="str">
        <v>Computación</v>
      </c>
      <c r="B312" t="str">
        <v>usb hub</v>
      </c>
      <c r="C312" t="str">
        <v>606703303140221</v>
      </c>
      <c r="D312" t="str">
        <v>15-in-1 USB-C Docking Station Compatible for Type-C Laptops, PD100W * &amp; Gigabit Ethernet Hub with USB-/Ethernet Ports, SD/TF Card Reader, Audio Jack, /PD for Smartphones, Tablets, TVs (USB-C Hub)</v>
      </c>
      <c r="E312">
        <v>51.79</v>
      </c>
      <c r="F312">
        <v>102.61</v>
      </c>
      <c r="G312">
        <v>49.53</v>
      </c>
      <c r="H312">
        <f>IF(E312="","",ROUND(E312*Resumen!$B$3,2))</f>
      </c>
      <c r="L312" t="str">
        <v/>
      </c>
      <c r="M312" t="str">
        <v/>
      </c>
      <c r="N312" t="str">
        <v>https://img.kwcdn.com/product/open/795265f8b3e84e45a7980bfcb4de78e5-goods.jpeg</v>
      </c>
      <c r="O312" t="str">
        <v>https://www.temu.com/goods.html?goods_id=606703303140221</v>
      </c>
    </row>
    <row r="313">
      <c r="A313" t="str">
        <v>Computación</v>
      </c>
      <c r="B313" t="str">
        <v>keyboard</v>
      </c>
      <c r="C313" t="str">
        <v>607111861899978</v>
      </c>
      <c r="D313" t="str">
        <v>Punk Wired Memb*ne Keyboard, Silent Typing, *ow Backlight, * Round Keycaps, USB *, Suitable for Office and Gaming, Works with Windows and *</v>
      </c>
      <c r="E313">
        <v>17.55</v>
      </c>
      <c r="F313">
        <v>23.29</v>
      </c>
      <c r="G313">
        <v>24.65</v>
      </c>
      <c r="H313">
        <f>IF(E313="","",ROUND(E313*Resumen!$B$3,2))</f>
      </c>
      <c r="L313" t="str">
        <v/>
      </c>
      <c r="M313" t="str">
        <v/>
      </c>
      <c r="N313" t="str">
        <v>https://img.kwcdn.com/product/fancy/44e191cb-af58-4356-85e6-e90946ca3a91.jpg</v>
      </c>
      <c r="O313" t="str">
        <v>https://www.temu.com/goods.html?goods_id=607111861899978</v>
      </c>
    </row>
    <row r="314">
      <c r="A314" t="str">
        <v>Computación</v>
      </c>
      <c r="B314" t="str">
        <v>usb hub</v>
      </c>
      <c r="C314" t="str">
        <v>607429823724163</v>
      </c>
      <c r="D314" t="str">
        <v>OKWEEK 4-Port USB-A Hub, Aluminum Alloy Portable USB 3.0 Splitter with Type-C Power Supply Input Port, Compact * USB Expander Adapter for Laptop PC Home Office</v>
      </c>
      <c r="E314">
        <v>22.33</v>
      </c>
      <c r="H314">
        <f>IF(E314="","",ROUND(E314*Resumen!$B$3,2))</f>
      </c>
      <c r="L314" t="str">
        <v/>
      </c>
      <c r="M314" t="str">
        <v/>
      </c>
      <c r="N314" t="str">
        <v>https://img.kwcdn.com/product/open/395ce8efcf4d40e7b144dacec77fe32e-goods.jpeg</v>
      </c>
      <c r="O314" t="str">
        <v>https://www.temu.com/goods.html?goods_id=607429823724163</v>
      </c>
    </row>
    <row r="315">
      <c r="A315" t="str">
        <v>Computación</v>
      </c>
      <c r="B315" t="str">
        <v>keyboard</v>
      </c>
      <c r="C315" t="str">
        <v>610219472056356</v>
      </c>
      <c r="D315" t="str">
        <v>* Gaming K70 RGB Mechanical Keyboard</v>
      </c>
      <c r="E315">
        <v>81.73</v>
      </c>
      <c r="H315">
        <f>IF(E315="","",ROUND(E315*Resumen!$B$3,2))</f>
      </c>
      <c r="L315" t="str">
        <v/>
      </c>
      <c r="M315" t="str">
        <v/>
      </c>
      <c r="N315" t="str">
        <v>https://img.kwcdn.com/local-goods-image/21152343918/fe74db16-dc1b-40ec-abeb-cd18cf7bb4b5_800x800.jpeg.format.jpg</v>
      </c>
      <c r="O315" t="str">
        <v>https://www.temu.com/goods.html?goods_id=610219472056356</v>
      </c>
    </row>
    <row r="316">
      <c r="A316" t="str">
        <v>TI / Redes</v>
      </c>
      <c r="B316" t="str">
        <v>wifi extender</v>
      </c>
      <c r="C316" t="str">
        <v>601099516530993</v>
      </c>
      <c r="D316" t="str">
        <v>* 300Mbps 2.4G Wireless WiFi * Amplifier, USB-Powered Portable Wifi Booster Repeater for Computers, Office &amp; Indoor Use, Single Band 2.4GHz, * Hotspot Extender Not Support 5G WIFI, Wifi Extender</v>
      </c>
      <c r="E316">
        <v>4.53</v>
      </c>
      <c r="F316">
        <v>27.19</v>
      </c>
      <c r="G316">
        <v>83.34</v>
      </c>
      <c r="H316">
        <f>IF(E316="","",ROUND(E316*Resumen!$B$3,2))</f>
      </c>
      <c r="I316">
        <v>4.5</v>
      </c>
      <c r="J316">
        <v>2886</v>
      </c>
      <c r="K316">
        <v>72000</v>
      </c>
      <c r="L316" t="str">
        <v>72K+ sold</v>
      </c>
      <c r="M316" t="str">
        <v/>
      </c>
      <c r="N316" t="str">
        <v>https://img.kwcdn.com/product/Fancyalgo/VirtualModelMatting/b760132f7ae9e1fb3826e1f658a4fc1e.jpg</v>
      </c>
      <c r="O316" t="str">
        <v>https://www.temu.com/goods.html?goods_id=601099516530993</v>
      </c>
    </row>
    <row r="317">
      <c r="A317" t="str">
        <v>TI / Redes</v>
      </c>
      <c r="B317" t="str">
        <v>ethernet cable</v>
      </c>
      <c r="C317" t="str">
        <v>601099648907121</v>
      </c>
      <c r="D317" t="str">
        <v>* * Flat Ethernet Cable 40* 2000MHz, 19.69inch-1181.1inch Male RJ45 to Male RJ45, Durable Flat *-* for PC Laptop * Pro * PS5 Switch Router Modem, * *, Versatile Networking, Modern Cable Design, Reliable *, * Cable</v>
      </c>
      <c r="E317">
        <v>2.84</v>
      </c>
      <c r="F317">
        <v>22.27</v>
      </c>
      <c r="G317">
        <v>87.25</v>
      </c>
      <c r="H317">
        <f>IF(E317="","",ROUND(E317*Resumen!$B$3,2))</f>
      </c>
      <c r="I317">
        <v>4.8</v>
      </c>
      <c r="J317">
        <v>85</v>
      </c>
      <c r="K317">
        <v>48000</v>
      </c>
      <c r="L317" t="str">
        <v>48K+ sold</v>
      </c>
      <c r="M317" t="str">
        <v/>
      </c>
      <c r="N317" t="str">
        <v>https://img.kwcdn.com/product/fancy/5bc9ec30-0e10-4326-8163-c2988f375053.jpg</v>
      </c>
      <c r="O317" t="str">
        <v>https://www.temu.com/goods.html?goods_id=601099648907121</v>
      </c>
    </row>
    <row r="318">
      <c r="A318" t="str">
        <v>TI / Redes</v>
      </c>
      <c r="B318" t="str">
        <v>ethernet cable</v>
      </c>
      <c r="C318" t="str">
        <v>601099842900159</v>
      </c>
      <c r="D318" t="str">
        <v>3 ft Cat 8 Ethernet Cable | Nylon Braided High Speed Heavy Duty, 40* 2000Mhz SFTP RJ45 Flat Internet Cable Shielded in Wall, Indoor&amp;Outdoor for */Gaming/PC, Brand: *</v>
      </c>
      <c r="E318">
        <v>3.86</v>
      </c>
      <c r="F318">
        <v>7.85</v>
      </c>
      <c r="G318">
        <v>50.83</v>
      </c>
      <c r="H318">
        <f>IF(E318="","",ROUND(E318*Resumen!$B$3,2))</f>
      </c>
      <c r="I318">
        <v>4.8</v>
      </c>
      <c r="J318">
        <v>66</v>
      </c>
      <c r="K318">
        <v>30000</v>
      </c>
      <c r="L318" t="str">
        <v>30K+ sold</v>
      </c>
      <c r="M318" t="str">
        <v/>
      </c>
      <c r="N318" t="str">
        <v>https://img.kwcdn.com/product/fancy/97f98ca5-3538-4f0b-9c98-78ada40f175f.jpg</v>
      </c>
      <c r="O318" t="str">
        <v>https://www.temu.com/goods.html?goods_id=601099842900159</v>
      </c>
    </row>
    <row r="319">
      <c r="A319" t="str">
        <v>TI / Redes</v>
      </c>
      <c r="B319" t="str">
        <v>wifi extender</v>
      </c>
      <c r="C319" t="str">
        <v>601105369000347</v>
      </c>
      <c r="D319" t="str">
        <v>1200Mbps WiFi 6 * Booster And Mesh Network Extender - Dual-band 2.4GHz/5GHz, 6-antenna * Wi-*, * Whole-home Coverage, Compatible With Smart TVs, Gaming Consoles, Supports * Connections From 45 Devices</v>
      </c>
      <c r="E319">
        <v>6.5</v>
      </c>
      <c r="F319">
        <v>39.99</v>
      </c>
      <c r="G319">
        <v>83.75</v>
      </c>
      <c r="H319">
        <f>IF(E319="","",ROUND(E319*Resumen!$B$3,2))</f>
      </c>
      <c r="I319">
        <v>4.5</v>
      </c>
      <c r="J319">
        <v>3728</v>
      </c>
      <c r="K319">
        <v>22000</v>
      </c>
      <c r="L319" t="str">
        <v>22K+ sold</v>
      </c>
      <c r="M319" t="str">
        <v/>
      </c>
      <c r="N319" t="str">
        <v>https://img.kwcdn.com/product/fancy/4d52bd19-7b6f-4f85-b187-7a18e8ebaa27.jpg</v>
      </c>
      <c r="O319" t="str">
        <v>https://www.temu.com/goods.html?goods_id=601105369000347</v>
      </c>
    </row>
    <row r="320">
      <c r="A320" t="str">
        <v>TI / Redes</v>
      </c>
      <c r="B320" t="str">
        <v>wifi extender</v>
      </c>
      <c r="C320" t="str">
        <v>605703062302859</v>
      </c>
      <c r="D320" t="str">
        <v>* WiFi Extender Booster with 6 * &amp; Gigabit Ethernet Ports - Compatible for 45 Devices, Covers Homes/Schools/Offices, Type-C Power, * Setup, Wireless * Booster for PC/Laptop/Router (No Reconfiguration)</v>
      </c>
      <c r="E320">
        <v>7.87</v>
      </c>
      <c r="F320">
        <v>39.99</v>
      </c>
      <c r="G320">
        <v>80.32</v>
      </c>
      <c r="H320">
        <f>IF(E320="","",ROUND(E320*Resumen!$B$3,2))</f>
      </c>
      <c r="I320">
        <v>4.5</v>
      </c>
      <c r="J320">
        <v>75</v>
      </c>
      <c r="K320">
        <v>21000</v>
      </c>
      <c r="L320" t="str">
        <v>21K+ sold</v>
      </c>
      <c r="M320" t="str">
        <v/>
      </c>
      <c r="N320" t="str">
        <v>https://img.kwcdn.com/product/fancy/0594a385-b0f6-46ba-8552-45edd8d205de.jpg</v>
      </c>
      <c r="O320" t="str">
        <v>https://www.temu.com/goods.html?goods_id=605703062302859</v>
      </c>
    </row>
    <row r="321">
      <c r="A321" t="str">
        <v>TI / Redes</v>
      </c>
      <c r="B321" t="str">
        <v>ethernet cable</v>
      </c>
      <c r="C321" t="str">
        <v>601099513023354</v>
      </c>
      <c r="D321" t="str">
        <v>* Cat 8 Ethernet Cable Featuring Gold-Plated RJ45 Connectors, Suitable for Modems, Routers, Gaming Consoles Like PS4 And PS5, And Pcs</v>
      </c>
      <c r="E321">
        <v>4.34</v>
      </c>
      <c r="F321">
        <v>36.69</v>
      </c>
      <c r="G321">
        <v>88.17</v>
      </c>
      <c r="H321">
        <f>IF(E321="","",ROUND(E321*Resumen!$B$3,2))</f>
      </c>
      <c r="I321">
        <v>4.8</v>
      </c>
      <c r="J321">
        <v>136</v>
      </c>
      <c r="K321">
        <v>14000</v>
      </c>
      <c r="L321" t="str">
        <v>14K+ sold</v>
      </c>
      <c r="M321" t="str">
        <v/>
      </c>
      <c r="N321" t="str">
        <v>https://img.kwcdn.com/product/Fancyalgo/VirtualModelMatting/ff1bef8ccbc0d1b8339605413b1c5afd.jpg</v>
      </c>
      <c r="O321" t="str">
        <v>https://www.temu.com/goods.html?goods_id=601099513023354</v>
      </c>
    </row>
    <row r="322">
      <c r="A322" t="str">
        <v>TI / Redes</v>
      </c>
      <c r="B322" t="str">
        <v>ethernet cable</v>
      </c>
      <c r="C322" t="str">
        <v>601099541956933</v>
      </c>
      <c r="D322" t="str">
        <v>Class 6-Flat Ethernet Cable CAT6 Router Oxygen-free Copper *-Cable Broadband Gigabit Network Cable (white)</v>
      </c>
      <c r="E322">
        <v>2.94</v>
      </c>
      <c r="F322">
        <v>12.14</v>
      </c>
      <c r="G322">
        <v>75.78</v>
      </c>
      <c r="H322">
        <f>IF(E322="","",ROUND(E322*Resumen!$B$3,2))</f>
      </c>
      <c r="I322">
        <v>4.9</v>
      </c>
      <c r="J322">
        <v>93</v>
      </c>
      <c r="K322">
        <v>14000</v>
      </c>
      <c r="L322" t="str">
        <v>14K+ sold</v>
      </c>
      <c r="M322" t="str">
        <v/>
      </c>
      <c r="N322" t="str">
        <v>https://img.kwcdn.com/product/fancy/56e813ab-c318-4a83-ba7b-d420ba4eaa1b.jpg</v>
      </c>
      <c r="O322" t="str">
        <v>https://www.temu.com/goods.html?goods_id=601099541956933</v>
      </c>
    </row>
    <row r="323">
      <c r="A323" t="str">
        <v>TI / Redes</v>
      </c>
      <c r="B323" t="str">
        <v>ethernet cable</v>
      </c>
      <c r="C323" t="str">
        <v>601099601684739</v>
      </c>
      <c r="D323" t="str">
        <v>* Ethernet Cable, * Patch Cable 40* 2000Mhz S/FTP LAN Wires, High Speed Internet Cable Cord with RJ45 Golden Plated Connector for Router,Modem,Gaming, *</v>
      </c>
      <c r="E323">
        <v>3.48</v>
      </c>
      <c r="F323">
        <v>20.07</v>
      </c>
      <c r="G323">
        <v>82.66</v>
      </c>
      <c r="H323">
        <f>IF(E323="","",ROUND(E323*Resumen!$B$3,2))</f>
      </c>
      <c r="I323">
        <v>4.6</v>
      </c>
      <c r="J323">
        <v>150</v>
      </c>
      <c r="K323">
        <v>14000</v>
      </c>
      <c r="L323" t="str">
        <v>14K+ sold</v>
      </c>
      <c r="M323" t="str">
        <v/>
      </c>
      <c r="N323" t="str">
        <v>https://img.kwcdn.com/product/fancy/9097e003-f6c6-440e-84ff-2517e2787354.jpg</v>
      </c>
      <c r="O323" t="str">
        <v>https://www.temu.com/goods.html?goods_id=601099601684739</v>
      </c>
    </row>
    <row r="324">
      <c r="A324" t="str">
        <v>TI / Redes</v>
      </c>
      <c r="B324" t="str">
        <v>ethernet cable</v>
      </c>
      <c r="C324" t="str">
        <v>601099635328146</v>
      </c>
      <c r="D324" t="str">
        <v>Ultra *6 * 1* UTP Patch Long-Reach Ethernet Cables - Cords with Flat Design for Gaming Consoles, Routers, Modems, PCs, TVs, and Home Offices - 11 Length Options from 1.6ft to 100ft - White</v>
      </c>
      <c r="E324">
        <v>1.79</v>
      </c>
      <c r="F324">
        <v>11.48</v>
      </c>
      <c r="G324">
        <v>84.41</v>
      </c>
      <c r="H324">
        <f>IF(E324="","",ROUND(E324*Resumen!$B$3,2))</f>
      </c>
      <c r="I324">
        <v>4.6</v>
      </c>
      <c r="J324">
        <v>112</v>
      </c>
      <c r="K324">
        <v>14000</v>
      </c>
      <c r="L324" t="str">
        <v>14K+ sold</v>
      </c>
      <c r="M324" t="str">
        <v/>
      </c>
      <c r="N324" t="str">
        <v>https://img.kwcdn.com/product/fancy/70424bad-ac3a-480c-b21c-807569e1dd04.jpg</v>
      </c>
      <c r="O324" t="str">
        <v>https://www.temu.com/goods.html?goods_id=601099635328146</v>
      </c>
    </row>
    <row r="325">
      <c r="A325" t="str">
        <v>TI / Redes</v>
      </c>
      <c r="B325" t="str">
        <v>ethernet cable</v>
      </c>
      <c r="C325" t="str">
        <v>601099536656714</v>
      </c>
      <c r="D325" t="str">
        <v>Computer Ethernet Cable, Category 5e (Cat5e) Finished Network Cable, Unshielded Router Cable, Lengths: 39.37inch/78.74inch/118.11inch/196.85inch/393.7inch/787.4inch/1181.1inch/1574.8inch/1968.5inch</v>
      </c>
      <c r="E325">
        <v>1.58</v>
      </c>
      <c r="F325">
        <v>13.88</v>
      </c>
      <c r="G325">
        <v>88.62</v>
      </c>
      <c r="H325">
        <f>IF(E325="","",ROUND(E325*Resumen!$B$3,2))</f>
      </c>
      <c r="I325">
        <v>4.9</v>
      </c>
      <c r="J325">
        <v>36</v>
      </c>
      <c r="K325">
        <v>13000</v>
      </c>
      <c r="L325" t="str">
        <v>13K+ sold</v>
      </c>
      <c r="M325" t="str">
        <v/>
      </c>
      <c r="N325" t="str">
        <v>https://img.kwcdn.com/product/Fancyalgo/VirtualModelMatting/9e69f18574a895869384b5deb79edc29.jpg</v>
      </c>
      <c r="O325" t="str">
        <v>https://www.temu.com/goods.html?goods_id=601099536656714</v>
      </c>
    </row>
    <row r="326">
      <c r="A326" t="str">
        <v>TI / Redes</v>
      </c>
      <c r="B326" t="str">
        <v>wifi extender</v>
      </c>
      <c r="C326" t="str">
        <v>607354192021554</v>
      </c>
      <c r="D326" t="str">
        <v>Wifi Extender * Booster for Home, Long Range Wifi Booster And * Amplifier with Ethernet Port, 10, 000* Wireless Internet Repeater, 300M Wifi Extender Supports 99% Devices, * Setup</v>
      </c>
      <c r="E326">
        <v>8.38</v>
      </c>
      <c r="F326">
        <v>39.18</v>
      </c>
      <c r="G326">
        <v>78.61</v>
      </c>
      <c r="H326">
        <f>IF(E326="","",ROUND(E326*Resumen!$B$3,2))</f>
      </c>
      <c r="I326">
        <v>4.7</v>
      </c>
      <c r="J326">
        <v>236</v>
      </c>
      <c r="K326">
        <v>13000</v>
      </c>
      <c r="L326" t="str">
        <v>13K+ sold</v>
      </c>
      <c r="M326" t="str">
        <v/>
      </c>
      <c r="N326" t="str">
        <v>https://img.kwcdn.com/product/fancy/d39cbe68-2b45-4199-ae7a-8dbd95662bcc.jpg</v>
      </c>
      <c r="O326" t="str">
        <v>https://www.temu.com/goods.html?goods_id=607354192021554</v>
      </c>
    </row>
    <row r="327">
      <c r="A327" t="str">
        <v>TI / Redes</v>
      </c>
      <c r="B327" t="str">
        <v>ethernet cable</v>
      </c>
      <c r="C327" t="str">
        <v>601099937468704</v>
      </c>
      <c r="D327" t="str">
        <v>* Cat 8 Ethernet Cable, Round High Speed LAN Cable, 40*, 2000Mhz Braided High Duty Long Ethernet Cable, Plated RJ45 Connector for Modem/ Router/ PS3/ 4/ 5/ Gaming/ PC</v>
      </c>
      <c r="E327">
        <v>3.79</v>
      </c>
      <c r="F327">
        <v>25.19</v>
      </c>
      <c r="G327">
        <v>84.95</v>
      </c>
      <c r="H327">
        <f>IF(E327="","",ROUND(E327*Resumen!$B$3,2))</f>
      </c>
      <c r="I327">
        <v>5</v>
      </c>
      <c r="J327">
        <v>36</v>
      </c>
      <c r="K327">
        <v>11000</v>
      </c>
      <c r="L327" t="str">
        <v>11K+ sold</v>
      </c>
      <c r="M327" t="str">
        <v/>
      </c>
      <c r="N327" t="str">
        <v>https://img.kwcdn.com/product/fancy/c5052024-ce24-4f04-b6a7-24b094a41cda.jpg</v>
      </c>
      <c r="O327" t="str">
        <v>https://www.temu.com/goods.html?goods_id=601099937468704</v>
      </c>
    </row>
    <row r="328">
      <c r="A328" t="str">
        <v>TI / Redes</v>
      </c>
      <c r="B328" t="str">
        <v>ethernet cable</v>
      </c>
      <c r="C328" t="str">
        <v>601100151135462</v>
      </c>
      <c r="D328" t="str">
        <v>Cat6 Ethernet Cable Male RJ45 * Lan Cable Gigabit 1000Mbps UTP RJ45 Network Patch Cord 19.69inch 39.37inch 78.74inch 118.11inch 196.85inch 393.7inch 590.55inch 787.4inch 1181.1inch for Modem Router</v>
      </c>
      <c r="E328">
        <v>1.5</v>
      </c>
      <c r="F328">
        <v>13.06</v>
      </c>
      <c r="G328">
        <v>88.51</v>
      </c>
      <c r="H328">
        <f>IF(E328="","",ROUND(E328*Resumen!$B$3,2))</f>
      </c>
      <c r="I328">
        <v>4.1</v>
      </c>
      <c r="J328">
        <v>15</v>
      </c>
      <c r="K328">
        <v>11000</v>
      </c>
      <c r="L328" t="str">
        <v>11K+ sold</v>
      </c>
      <c r="M328" t="str">
        <v/>
      </c>
      <c r="N328" t="str">
        <v>https://img.kwcdn.com/product/open/e4f619406de94b0da27eed3e2c83ed06-goods.jpeg</v>
      </c>
      <c r="O328" t="str">
        <v>https://www.temu.com/goods.html?goods_id=601100151135462</v>
      </c>
    </row>
    <row r="329">
      <c r="A329" t="str">
        <v>TI / Redes</v>
      </c>
      <c r="B329" t="str">
        <v>ethernet cable</v>
      </c>
      <c r="C329" t="str">
        <v>601099545047508</v>
      </c>
      <c r="D329" t="str">
        <v>Cat 6 Ethernet Cable High Speed, Shielded Flat Internet Cable With Clips 10* * Network Cable, Patch Cord With RJ45 Compatible With Cat6/*/*e Indoor Fast LAN Wire For Gaming, *, Modem, Router</v>
      </c>
      <c r="E329">
        <v>1.41</v>
      </c>
      <c r="F329">
        <v>2.39</v>
      </c>
      <c r="G329">
        <v>41</v>
      </c>
      <c r="H329">
        <f>IF(E329="","",ROUND(E329*Resumen!$B$3,2))</f>
      </c>
      <c r="I329">
        <v>5</v>
      </c>
      <c r="J329">
        <v>21</v>
      </c>
      <c r="K329">
        <v>10000</v>
      </c>
      <c r="L329" t="str">
        <v>10K+ sold</v>
      </c>
      <c r="M329" t="str">
        <v/>
      </c>
      <c r="N329" t="str">
        <v>https://img.kwcdn.com/product/fancy/1a8c7cdb-eca6-4e6d-9f88-34689f2859b2.jpg</v>
      </c>
      <c r="O329" t="str">
        <v>https://www.temu.com/goods.html?goods_id=601099545047508</v>
      </c>
    </row>
    <row r="330">
      <c r="A330" t="str">
        <v>TI / Redes</v>
      </c>
      <c r="B330" t="str">
        <v>ethernet cable</v>
      </c>
      <c r="C330" t="str">
        <v>601100632957468</v>
      </c>
      <c r="D330" t="str">
        <v>* Rj45 Ethernet Cable with Woven Design, Flat And Round for *, 19.69inch~1181.1inch Max, Male Rj45 to Male Rj45 Cable, T568B, 40* Max, for Router Switcher Modem Internet PC * Air * Mini Laptop Ipad Pro Mini Air Pad Switch PS5 *</v>
      </c>
      <c r="E330">
        <v>2.44</v>
      </c>
      <c r="F330">
        <v>16.41</v>
      </c>
      <c r="G330">
        <v>85.13</v>
      </c>
      <c r="H330">
        <f>IF(E330="","",ROUND(E330*Resumen!$B$3,2))</f>
      </c>
      <c r="I330">
        <v>4.8</v>
      </c>
      <c r="J330">
        <v>10</v>
      </c>
      <c r="K330">
        <v>10000</v>
      </c>
      <c r="L330" t="str">
        <v>10K+ sold</v>
      </c>
      <c r="M330" t="str">
        <v/>
      </c>
      <c r="N330" t="str">
        <v>https://img.kwcdn.com/product/open/9cc7409e6af74cbdbca5900e32b74e2d-goods.jpeg</v>
      </c>
      <c r="O330" t="str">
        <v>https://www.temu.com/goods.html?goods_id=601100632957468</v>
      </c>
    </row>
    <row r="331">
      <c r="A331" t="str">
        <v>TI / Redes</v>
      </c>
      <c r="B331" t="str">
        <v>ethernet cable</v>
      </c>
      <c r="C331" t="str">
        <v>601101328104635</v>
      </c>
      <c r="D331" t="str">
        <v>* * RJ45 Ethernet Cable, Woven Design, Flat &amp; Round, 0. 196.85inch-1181.1inch, *, 40*, for Router, Switcher, Modem, Internet PC, */Air, * Mini, iPad Pro, PS5, Xbo</v>
      </c>
      <c r="E331">
        <v>4.72</v>
      </c>
      <c r="F331">
        <v>16.41</v>
      </c>
      <c r="G331">
        <v>71.24</v>
      </c>
      <c r="H331">
        <f>IF(E331="","",ROUND(E331*Resumen!$B$3,2))</f>
      </c>
      <c r="I331">
        <v>4.8</v>
      </c>
      <c r="J331">
        <v>9</v>
      </c>
      <c r="K331">
        <v>10000</v>
      </c>
      <c r="L331" t="str">
        <v>10K+ sold</v>
      </c>
      <c r="M331" t="str">
        <v/>
      </c>
      <c r="N331" t="str">
        <v>https://img.kwcdn.com/product/open/9cc7409e6af74cbdbca5900e32b74e2d-goods.jpeg</v>
      </c>
      <c r="O331" t="str">
        <v>https://www.temu.com/goods.html?goods_id=601101328104635</v>
      </c>
    </row>
    <row r="332">
      <c r="A332" t="str">
        <v>TI / Redes</v>
      </c>
      <c r="B332" t="str">
        <v>ethernet cable</v>
      </c>
      <c r="C332" t="str">
        <v>601100620501141</v>
      </c>
      <c r="D332" t="str">
        <v>*8 Rj45 Ethernet Cable with Woven Design, Male Rj45 to Male Rj45 Cable, T568B Wiring *, 40* Max, for Router Switcher Modem Internet PC * Air * Mini Laptop iPad Pro mini Air Pad Switch PS5 *</v>
      </c>
      <c r="E332">
        <v>2.85</v>
      </c>
      <c r="F332">
        <v>23.88</v>
      </c>
      <c r="G332">
        <v>88.07</v>
      </c>
      <c r="H332">
        <f>IF(E332="","",ROUND(E332*Resumen!$B$3,2))</f>
      </c>
      <c r="I332">
        <v>4.8</v>
      </c>
      <c r="J332">
        <v>38</v>
      </c>
      <c r="K332">
        <v>9800</v>
      </c>
      <c r="L332" t="str">
        <v>9.8K+ sold</v>
      </c>
      <c r="M332" t="str">
        <v/>
      </c>
      <c r="N332" t="str">
        <v>https://img.kwcdn.com/product/open/c3dcf06b9ca54d9eae2ef3130b8fb98a-goods.jpeg</v>
      </c>
      <c r="O332" t="str">
        <v>https://www.temu.com/goods.html?goods_id=601100620501141</v>
      </c>
    </row>
    <row r="333">
      <c r="A333" t="str">
        <v>TI / Redes</v>
      </c>
      <c r="B333" t="str">
        <v>ethernet cable</v>
      </c>
      <c r="C333" t="str">
        <v>601101831359489</v>
      </c>
      <c r="D333" t="str">
        <v>Cat 8 Ethernet Cable, * 40* 2000MHz | Nylon Braided Gold-Plated Male RJ45 to Male RJ45 Connectors, Durable Flat Internet Cable Shielded in Wall, Indoor &amp; Outdoor for Gaming, Modem, Router, PS3/4/5, PC, Network Upgrade</v>
      </c>
      <c r="E333">
        <v>11.82</v>
      </c>
      <c r="H333">
        <f>IF(E333="","",ROUND(E333*Resumen!$B$3,2))</f>
      </c>
      <c r="I333">
        <v>5</v>
      </c>
      <c r="J333">
        <v>5</v>
      </c>
      <c r="K333">
        <v>8800</v>
      </c>
      <c r="L333" t="str">
        <v>8.8K+ sold</v>
      </c>
      <c r="M333" t="str">
        <v/>
      </c>
      <c r="N333" t="str">
        <v>https://img.kwcdn.com/product/fancy/3ebc336b-6478-45f5-b85b-fd1e8244c06a.jpg</v>
      </c>
      <c r="O333" t="str">
        <v>https://www.temu.com/goods.html?goods_id=601101831359489</v>
      </c>
    </row>
    <row r="334">
      <c r="A334" t="str">
        <v>TI / Redes</v>
      </c>
      <c r="B334" t="str">
        <v>ethernet cable</v>
      </c>
      <c r="C334" t="str">
        <v>601100566538120</v>
      </c>
      <c r="D334" t="str">
        <v>* Ethernet Cable, * Woven Design, Male Rj45 to Male Rj45 Cable with T568B Wiring * for Modem Router * Station Ethernet Card PC Notebook * Air Pad Ipad * Mini Switch * PS5</v>
      </c>
      <c r="E334">
        <v>2.82</v>
      </c>
      <c r="F334">
        <v>16.67</v>
      </c>
      <c r="G334">
        <v>83.08</v>
      </c>
      <c r="H334">
        <f>IF(E334="","",ROUND(E334*Resumen!$B$3,2))</f>
      </c>
      <c r="I334">
        <v>5</v>
      </c>
      <c r="J334">
        <v>15</v>
      </c>
      <c r="K334">
        <v>7200</v>
      </c>
      <c r="L334" t="str">
        <v>7.2K+ sold</v>
      </c>
      <c r="M334" t="str">
        <v/>
      </c>
      <c r="N334" t="str">
        <v>https://img.kwcdn.com/product/open/120e895301f14b9fa5f01d80d171c91a-goods.jpeg</v>
      </c>
      <c r="O334" t="str">
        <v>https://www.temu.com/goods.html?goods_id=601100566538120</v>
      </c>
    </row>
    <row r="335">
      <c r="A335" t="str">
        <v>TI / Redes</v>
      </c>
      <c r="B335" t="str">
        <v>ethernet cable</v>
      </c>
      <c r="C335" t="str">
        <v>601099940994239</v>
      </c>
      <c r="D335" t="str">
        <v>* Round Ethernet Cable RJ45 to RJ45 * | 40* Max, 2000MHz, 586B Category 8, Compatible with Router, Modem, PC, PS5, *, Air, Switch, Laptop - *</v>
      </c>
      <c r="E335">
        <v>2.49</v>
      </c>
      <c r="F335">
        <v>23.46</v>
      </c>
      <c r="G335">
        <v>89.39</v>
      </c>
      <c r="H335">
        <f>IF(E335="","",ROUND(E335*Resumen!$B$3,2))</f>
      </c>
      <c r="I335">
        <v>4.8</v>
      </c>
      <c r="J335">
        <v>17</v>
      </c>
      <c r="K335">
        <v>6900</v>
      </c>
      <c r="L335" t="str">
        <v>6.9K+ sold</v>
      </c>
      <c r="M335" t="str">
        <v/>
      </c>
      <c r="N335" t="str">
        <v>https://img.kwcdn.com/product/fancy/e6c74aa0-39ec-4a3d-8ea7-9ec84dd9976e.jpg</v>
      </c>
      <c r="O335" t="str">
        <v>https://www.temu.com/goods.html?goods_id=601099940994239</v>
      </c>
    </row>
    <row r="336">
      <c r="A336" t="str">
        <v>TI / Redes</v>
      </c>
      <c r="B336" t="str">
        <v>ethernet cable</v>
      </c>
      <c r="C336" t="str">
        <v>601100848141395</v>
      </c>
      <c r="D336" t="str">
        <v>Cat 8 Ethernet Cable, * 40* 2000MHz SFTP Patch Cord, Suitable for */7 Routers/Modems/*, Heavy-Duty Shielded LAN Network Cable for Indoor/Outdoor Use</v>
      </c>
      <c r="E336">
        <v>1.75</v>
      </c>
      <c r="F336">
        <v>2.58</v>
      </c>
      <c r="G336">
        <v>32.17</v>
      </c>
      <c r="H336">
        <f>IF(E336="","",ROUND(E336*Resumen!$B$3,2))</f>
      </c>
      <c r="I336">
        <v>4.2</v>
      </c>
      <c r="J336">
        <v>31</v>
      </c>
      <c r="K336">
        <v>6500</v>
      </c>
      <c r="L336" t="str">
        <v>6.5K+ sold</v>
      </c>
      <c r="M336" t="str">
        <v/>
      </c>
      <c r="N336" t="str">
        <v>https://img.kwcdn.com/product/fancy/98018548-19ef-4f09-8ee5-183a55faff6a.jpg</v>
      </c>
      <c r="O336" t="str">
        <v>https://www.temu.com/goods.html?goods_id=601100848141395</v>
      </c>
    </row>
    <row r="337">
      <c r="A337" t="str">
        <v>TI / Redes</v>
      </c>
      <c r="B337" t="str">
        <v>ethernet cable</v>
      </c>
      <c r="C337" t="str">
        <v>601100157211777</v>
      </c>
      <c r="D337" t="str">
        <v>10-Gigabit Cat6A Ethernet Cable, Anti-Interference, Stabilization, 1* Speed, 250Mhz/s, UTP, *, for PS5, *, Switch, Router, Modem, PC, TV, Home Office, Monitoring Cable</v>
      </c>
      <c r="E337">
        <v>1.82</v>
      </c>
      <c r="F337">
        <v>8.86</v>
      </c>
      <c r="G337">
        <v>79.46</v>
      </c>
      <c r="H337">
        <f>IF(E337="","",ROUND(E337*Resumen!$B$3,2))</f>
      </c>
      <c r="I337">
        <v>4.6</v>
      </c>
      <c r="J337">
        <v>87</v>
      </c>
      <c r="K337">
        <v>6400</v>
      </c>
      <c r="L337" t="str">
        <v>6.4K+ sold</v>
      </c>
      <c r="M337" t="str">
        <v/>
      </c>
      <c r="N337" t="str">
        <v>https://img.kwcdn.com/product/fancy/8cf9b811-98bc-4a58-9254-def55239dc37.jpg</v>
      </c>
      <c r="O337" t="str">
        <v>https://www.temu.com/goods.html?goods_id=601100157211777</v>
      </c>
    </row>
    <row r="338">
      <c r="A338" t="str">
        <v>TI / Redes</v>
      </c>
      <c r="B338" t="str">
        <v>wifi extender</v>
      </c>
      <c r="C338" t="str">
        <v>601100199306915</v>
      </c>
      <c r="D338" t="str">
        <v>300Mbps * Wifi USB Repeater Featuring 4 * - a Wireless * Booster Designed to Improve Network Coverage, * USB, with a * End, Offering Direct * to Enhance Your Wifi Experience, Wifi Extender</v>
      </c>
      <c r="E338">
        <v>5.23</v>
      </c>
      <c r="F338">
        <v>27.19</v>
      </c>
      <c r="G338">
        <v>80.76</v>
      </c>
      <c r="H338">
        <f>IF(E338="","",ROUND(E338*Resumen!$B$3,2))</f>
      </c>
      <c r="I338">
        <v>4.7</v>
      </c>
      <c r="J338">
        <v>153</v>
      </c>
      <c r="K338">
        <v>5700</v>
      </c>
      <c r="L338" t="str">
        <v>5.7K+ sold</v>
      </c>
      <c r="M338" t="str">
        <v/>
      </c>
      <c r="N338" t="str">
        <v>https://img.kwcdn.com/product/algo_check/auto/e7782fecdb0f37d43a487baf00384e4e_1745807795854.jpg</v>
      </c>
      <c r="O338" t="str">
        <v>https://www.temu.com/goods.html?goods_id=601100199306915</v>
      </c>
    </row>
    <row r="339">
      <c r="A339" t="str">
        <v>TI / Redes</v>
      </c>
      <c r="B339" t="str">
        <v>ethernet cable</v>
      </c>
      <c r="C339" t="str">
        <v>601099626946584</v>
      </c>
      <c r="D339" t="str">
        <v>Cat 8 Ethernet Cable 1.65ft/3.3ft/6ft/16.5ft/33ft/33ft Shielded Indoor Outdoor Heavy-Duty * Direct * 26AWG * LAN Network Cable, 40* 2000MHz SFTP Patch Cord for Router/Modem/*</v>
      </c>
      <c r="E339">
        <v>2.06</v>
      </c>
      <c r="F339">
        <v>2.34</v>
      </c>
      <c r="G339">
        <v>11.97</v>
      </c>
      <c r="H339">
        <f>IF(E339="","",ROUND(E339*Resumen!$B$3,2))</f>
      </c>
      <c r="I339">
        <v>4.8</v>
      </c>
      <c r="J339">
        <v>48</v>
      </c>
      <c r="K339">
        <v>5500</v>
      </c>
      <c r="L339" t="str">
        <v>5.5K+ sold</v>
      </c>
      <c r="M339" t="str">
        <v/>
      </c>
      <c r="N339" t="str">
        <v>https://img.kwcdn.com/product/fancy/f00483ff-6dca-42ec-9457-c5e21f871620.jpg</v>
      </c>
      <c r="O339" t="str">
        <v>https://www.temu.com/goods.html?goods_id=601099626946584</v>
      </c>
    </row>
    <row r="340">
      <c r="A340" t="str">
        <v>TI / Redes</v>
      </c>
      <c r="B340" t="str">
        <v>ethernet cable</v>
      </c>
      <c r="C340" t="str">
        <v>601099845418162</v>
      </c>
      <c r="D340" t="str">
        <v>* * Ethernet Cable, 19.69inch-787.4inch, Male RJ45 to Male RJ45, 2000Mhz, Up to 40* - * Routers, Modems, PCs, Laptops, MacBooks, *, PS5, Switches</v>
      </c>
      <c r="E340">
        <v>1.81</v>
      </c>
      <c r="F340">
        <v>12.62</v>
      </c>
      <c r="G340">
        <v>85.66</v>
      </c>
      <c r="H340">
        <f>IF(E340="","",ROUND(E340*Resumen!$B$3,2))</f>
      </c>
      <c r="I340">
        <v>4.9</v>
      </c>
      <c r="J340">
        <v>9</v>
      </c>
      <c r="K340">
        <v>5100</v>
      </c>
      <c r="L340" t="str">
        <v>5.1K+ sold</v>
      </c>
      <c r="M340" t="str">
        <v/>
      </c>
      <c r="N340" t="str">
        <v>https://img.kwcdn.com/product/fancy/3029d2ee-52a1-4899-ae56-d06e64597f66.jpg</v>
      </c>
      <c r="O340" t="str">
        <v>https://www.temu.com/goods.html?goods_id=601099845418162</v>
      </c>
    </row>
    <row r="341">
      <c r="A341" t="str">
        <v>TI / Redes</v>
      </c>
      <c r="B341" t="str">
        <v>ethernet cable</v>
      </c>
      <c r="C341" t="str">
        <v>601100911212896</v>
      </c>
      <c r="D341" t="str">
        <v>Cat6A, * Compatible, Gigabit, 10*-10000M, Shielded, Anti-Interference, Ethernet Network Cable, Long Network Cable * Jumper 1* Suitable for 250Mhz/S UTP Console, PS3, PS4, PS5, *, Switch, Router, Modem, Patch Panel, PC</v>
      </c>
      <c r="E341">
        <v>1.82</v>
      </c>
      <c r="F341">
        <v>13.69</v>
      </c>
      <c r="G341">
        <v>86.71</v>
      </c>
      <c r="H341">
        <f>IF(E341="","",ROUND(E341*Resumen!$B$3,2))</f>
      </c>
      <c r="I341">
        <v>4.7</v>
      </c>
      <c r="J341">
        <v>18</v>
      </c>
      <c r="K341">
        <v>5100</v>
      </c>
      <c r="L341" t="str">
        <v>5.1K+ sold</v>
      </c>
      <c r="M341" t="str">
        <v/>
      </c>
      <c r="N341" t="str">
        <v>https://img.kwcdn.com/product/fancy/0552cb79-cf94-4735-a1e0-b605796afcce.jpg</v>
      </c>
      <c r="O341" t="str">
        <v>https://www.temu.com/goods.html?goods_id=601100911212896</v>
      </c>
    </row>
    <row r="342">
      <c r="A342" t="str">
        <v>TI / Redes</v>
      </c>
      <c r="B342" t="str">
        <v>ethernet cable</v>
      </c>
      <c r="C342" t="str">
        <v>601102278863131</v>
      </c>
      <c r="D342" t="str">
        <v>CAT6 Ethernet Cable with Snagless RJ45 Connector - Flat, Fast Internet * up to 10* (40Mbps), White - Compatible with Gaming Consoles, Smart TVs, Routers, Modems, Switches - Long * to 98ft for Home/Office Network Setup, Home Internet Cable, Sleek Cable Design, * Cable, Office Networking, Shielded Wiring, It Professionals</v>
      </c>
      <c r="E342">
        <v>9.79</v>
      </c>
      <c r="F342">
        <v>49.87</v>
      </c>
      <c r="G342">
        <v>80.37</v>
      </c>
      <c r="H342">
        <f>IF(E342="","",ROUND(E342*Resumen!$B$3,2))</f>
      </c>
      <c r="I342">
        <v>4.8</v>
      </c>
      <c r="J342">
        <v>4</v>
      </c>
      <c r="K342">
        <v>5100</v>
      </c>
      <c r="L342" t="str">
        <v>5.1K+ sold</v>
      </c>
      <c r="M342" t="str">
        <v/>
      </c>
      <c r="N342" t="str">
        <v>https://img.kwcdn.com/product/fancy/bbd74f95-2850-4830-b55c-830aa4f67e8f.jpg</v>
      </c>
      <c r="O342" t="str">
        <v>https://www.temu.com/goods.html?goods_id=601102278863131</v>
      </c>
    </row>
    <row r="343">
      <c r="A343" t="str">
        <v>TI / Redes</v>
      </c>
      <c r="B343" t="str">
        <v>ethernet cable</v>
      </c>
      <c r="C343" t="str">
        <v>601099640843482</v>
      </c>
      <c r="D343" t="str">
        <v>* Cat 6 Ethernet Cable in Grey - 1000 Mbps Gigabit, RJ45 Connectors, Pure Copper Wire, Multiple Lengths (19.69" to 393.7") - Durable &amp; Flexible for Home/Office Use</v>
      </c>
      <c r="E343">
        <v>13.66</v>
      </c>
      <c r="F343">
        <v>70.81</v>
      </c>
      <c r="G343">
        <v>80.71</v>
      </c>
      <c r="H343">
        <f>IF(E343="","",ROUND(E343*Resumen!$B$3,2))</f>
      </c>
      <c r="I343">
        <v>4.9</v>
      </c>
      <c r="J343">
        <v>20</v>
      </c>
      <c r="K343">
        <v>4900</v>
      </c>
      <c r="L343" t="str">
        <v>4.9K+ sold</v>
      </c>
      <c r="M343" t="str">
        <v/>
      </c>
      <c r="N343" t="str">
        <v>https://img.kwcdn.com/product/fancy/aa90a73e-a6fb-48e7-9596-4dc97df45328.jpg</v>
      </c>
      <c r="O343" t="str">
        <v>https://www.temu.com/goods.html?goods_id=601099640843482</v>
      </c>
    </row>
    <row r="344">
      <c r="A344" t="str">
        <v>TI / Redes</v>
      </c>
      <c r="B344" t="str">
        <v>ethernet cable</v>
      </c>
      <c r="C344" t="str">
        <v>601100097340849</v>
      </c>
      <c r="D344" t="str">
        <v>[Precision Engineering] * Cat6 Ethernet Cable, 0.99-29.9m (32ft-98ft), Gold Plated RJ45 Internet Cable for * - * Flat Design, *, Ideal for PC, Gaming, and Service Rooms</v>
      </c>
      <c r="E344">
        <v>4.16</v>
      </c>
      <c r="H344">
        <f>IF(E344="","",ROUND(E344*Resumen!$B$3,2))</f>
      </c>
      <c r="I344">
        <v>5</v>
      </c>
      <c r="J344">
        <v>11</v>
      </c>
      <c r="K344">
        <v>4900</v>
      </c>
      <c r="L344" t="str">
        <v>4.9K+ sold</v>
      </c>
      <c r="M344" t="str">
        <v/>
      </c>
      <c r="N344" t="str">
        <v>https://img.kwcdn.com/product/fancy/fa8f0ba2-4085-4e17-81cc-75b7d3cf4208.jpg</v>
      </c>
      <c r="O344" t="str">
        <v>https://www.temu.com/goods.html?goods_id=601100097340849</v>
      </c>
    </row>
    <row r="345">
      <c r="A345" t="str">
        <v>TI / Redes</v>
      </c>
      <c r="B345" t="str">
        <v>wifi extender</v>
      </c>
      <c r="C345" t="str">
        <v>601099803070739</v>
      </c>
      <c r="D345" t="str">
        <v>1 Unit of Wifi * Booster, Wifi Extender, 2.4Ghz * Enhancer, Increases Your * for Strong Wifi *, * with 2 * for * Coverage</v>
      </c>
      <c r="E345">
        <v>5.02</v>
      </c>
      <c r="F345">
        <v>27.19</v>
      </c>
      <c r="G345">
        <v>81.54</v>
      </c>
      <c r="H345">
        <f>IF(E345="","",ROUND(E345*Resumen!$B$3,2))</f>
      </c>
      <c r="I345">
        <v>4.5</v>
      </c>
      <c r="J345">
        <v>13</v>
      </c>
      <c r="K345">
        <v>4800</v>
      </c>
      <c r="L345" t="str">
        <v>4.8K+ sold</v>
      </c>
      <c r="M345" t="str">
        <v/>
      </c>
      <c r="N345" t="str">
        <v>https://img.kwcdn.com/product/fancy/d6271722-963d-48e0-8820-01098fc84668.jpg</v>
      </c>
      <c r="O345" t="str">
        <v>https://www.temu.com/goods.html?goods_id=601099803070739</v>
      </c>
    </row>
    <row r="346">
      <c r="A346" t="str">
        <v>TI / Redes</v>
      </c>
      <c r="B346" t="str">
        <v>ethernet cable</v>
      </c>
      <c r="C346" t="str">
        <v>601099630016035</v>
      </c>
      <c r="D346" t="str">
        <v>39.37inch/78.74inch/196.85inch/393.7inch/590.55inch * Cat6 Ethernet Cable - Rj45 Lan Patch Cord with Clamp for Routers, Modems, Ps4/5, *, Pcs, Switch, Tv Box, Printer - Durable Solid State Design, Black</v>
      </c>
      <c r="E346">
        <v>3.06</v>
      </c>
      <c r="F346">
        <v>25.28</v>
      </c>
      <c r="G346">
        <v>87.9</v>
      </c>
      <c r="H346">
        <f>IF(E346="","",ROUND(E346*Resumen!$B$3,2))</f>
      </c>
      <c r="I346">
        <v>4.9</v>
      </c>
      <c r="J346">
        <v>37</v>
      </c>
      <c r="K346">
        <v>4600</v>
      </c>
      <c r="L346" t="str">
        <v>4.6K+ sold</v>
      </c>
      <c r="M346" t="str">
        <v/>
      </c>
      <c r="N346" t="str">
        <v>https://img.kwcdn.com/product/fancy/389ec44b-71c7-4042-9a22-03d28e3eb989.jpg</v>
      </c>
      <c r="O346" t="str">
        <v>https://www.temu.com/goods.html?goods_id=601099630016035</v>
      </c>
    </row>
    <row r="347">
      <c r="A347" t="str">
        <v>TI / Redes</v>
      </c>
      <c r="B347" t="str">
        <v>wifi extender</v>
      </c>
      <c r="C347" t="str">
        <v>601099632679687</v>
      </c>
      <c r="D347" t="str">
        <v>Wifi Extender * Booster, Dual Band 2.4Ghz/5Ghz Wireless Range Repeater with 6 *, Easy Setup Internet Booster for Home, Bedroom, Office, Garage &amp; Basement</v>
      </c>
      <c r="E347">
        <v>17.66</v>
      </c>
      <c r="H347">
        <f>IF(E347="","",ROUND(E347*Resumen!$B$3,2))</f>
      </c>
      <c r="I347">
        <v>4.5</v>
      </c>
      <c r="J347">
        <v>701</v>
      </c>
      <c r="K347">
        <v>4600</v>
      </c>
      <c r="L347" t="str">
        <v>4.6K+ sold</v>
      </c>
      <c r="M347" t="str">
        <v/>
      </c>
      <c r="N347" t="str">
        <v>https://img.kwcdn.com/product/algo_check/auto/77fb246db30d31d579a736f898c26bd1_1785206347818.jpg</v>
      </c>
      <c r="O347" t="str">
        <v>https://www.temu.com/goods.html?goods_id=601099632679687</v>
      </c>
    </row>
    <row r="348">
      <c r="A348" t="str">
        <v>TI / Redes</v>
      </c>
      <c r="B348" t="str">
        <v>ethernet cable</v>
      </c>
      <c r="C348" t="str">
        <v>601099594370552</v>
      </c>
      <c r="D348" t="str">
        <v>Computer Ethernet Cable Cat5E Finished Cable Unshielded Network Cable Router Width Cable 39.37inch/78.74inch/118.11inch/196.85inch/393.7inch/787.4inch/1181.1inch/1574.8inch/1968.5inch</v>
      </c>
      <c r="E348">
        <v>1.37</v>
      </c>
      <c r="F348">
        <v>11.9</v>
      </c>
      <c r="G348">
        <v>88.49</v>
      </c>
      <c r="H348">
        <f>IF(E348="","",ROUND(E348*Resumen!$B$3,2))</f>
      </c>
      <c r="I348">
        <v>4.6</v>
      </c>
      <c r="J348">
        <v>16</v>
      </c>
      <c r="K348">
        <v>4500</v>
      </c>
      <c r="L348" t="str">
        <v>4.5K+ sold</v>
      </c>
      <c r="M348" t="str">
        <v/>
      </c>
      <c r="N348" t="str">
        <v>https://img.kwcdn.com/product/fancy/12a92816-4b3f-4663-9477-543a5405a946.jpg</v>
      </c>
      <c r="O348" t="str">
        <v>https://www.temu.com/goods.html?goods_id=601099594370552</v>
      </c>
    </row>
    <row r="349">
      <c r="A349" t="str">
        <v>TI / Redes</v>
      </c>
      <c r="B349" t="str">
        <v>ethernet cable</v>
      </c>
      <c r="C349" t="str">
        <v>601099652620299</v>
      </c>
      <c r="D349" t="str">
        <v>Cat 7 Ethernet Cable 39.37~787.4inch 10*, Flat * RJ45 Internet LAN Computer Solid Patch Cord with Clips for Router, Modem, PS4/5, *, Gaming, White</v>
      </c>
      <c r="E349">
        <v>3.12</v>
      </c>
      <c r="F349">
        <v>7.09</v>
      </c>
      <c r="G349">
        <v>55.99</v>
      </c>
      <c r="H349">
        <f>IF(E349="","",ROUND(E349*Resumen!$B$3,2))</f>
      </c>
      <c r="I349">
        <v>5</v>
      </c>
      <c r="J349">
        <v>4</v>
      </c>
      <c r="K349">
        <v>4500</v>
      </c>
      <c r="L349" t="str">
        <v>4.5K+ sold</v>
      </c>
      <c r="M349" t="str">
        <v/>
      </c>
      <c r="N349" t="str">
        <v>https://img.kwcdn.com/product/fancy/8dcebf1a-1710-4afe-8c50-3d34919acc91.jpg</v>
      </c>
      <c r="O349" t="str">
        <v>https://www.temu.com/goods.html?goods_id=601099652620299</v>
      </c>
    </row>
    <row r="350">
      <c r="A350" t="str">
        <v>TI / Redes</v>
      </c>
      <c r="B350" t="str">
        <v>wifi extender</v>
      </c>
      <c r="C350" t="str">
        <v>601101227619763</v>
      </c>
      <c r="D350" t="str">
        <v>350Mbps 2.4G WiFi * Booster - Portable USB-Powered * WiFi Extender for Home and Office, Eliminates Dead Zones, Plug-and-* Wireless Network Amplifier with Vertical Antenna Design</v>
      </c>
      <c r="E350">
        <v>4.35</v>
      </c>
      <c r="F350">
        <v>27.19</v>
      </c>
      <c r="G350">
        <v>84</v>
      </c>
      <c r="H350">
        <f>IF(E350="","",ROUND(E350*Resumen!$B$3,2))</f>
      </c>
      <c r="I350">
        <v>4.5</v>
      </c>
      <c r="J350">
        <v>925</v>
      </c>
      <c r="K350">
        <v>4500</v>
      </c>
      <c r="L350" t="str">
        <v>4.5K+ sold</v>
      </c>
      <c r="M350" t="str">
        <v/>
      </c>
      <c r="N350" t="str">
        <v>https://img.kwcdn.com/product/fancy/617d031d-863c-4349-a6a0-c40b93ac5352.jpg</v>
      </c>
      <c r="O350" t="str">
        <v>https://www.temu.com/goods.html?goods_id=601101227619763</v>
      </c>
    </row>
    <row r="351">
      <c r="A351" t="str">
        <v>TI / Redes</v>
      </c>
      <c r="B351" t="str">
        <v>wifi extender</v>
      </c>
      <c r="C351" t="str">
        <v>605766094265315</v>
      </c>
      <c r="D351" t="str">
        <v>1200Mbps WiFi 6 Mesh Extender &amp; * Booster - Dual-Band 2.4GHz/5GHz System with 6-Antenna, * Setup, Compatible for Smart TVs, Gaming Consoles, Smartphones, Tablets, Smart *, Whole- Coverage Amplifier</v>
      </c>
      <c r="E351">
        <v>6.5</v>
      </c>
      <c r="F351">
        <v>57.98</v>
      </c>
      <c r="G351">
        <v>88.79</v>
      </c>
      <c r="H351">
        <f>IF(E351="","",ROUND(E351*Resumen!$B$3,2))</f>
      </c>
      <c r="I351">
        <v>4.6</v>
      </c>
      <c r="J351">
        <v>704</v>
      </c>
      <c r="K351">
        <v>4500</v>
      </c>
      <c r="L351" t="str">
        <v>4.5K+ sold</v>
      </c>
      <c r="M351" t="str">
        <v/>
      </c>
      <c r="N351" t="str">
        <v>https://img.kwcdn.com/product/fancy/31e2c0e1-95dc-41c9-a8f6-b4e20faa6c89.jpg</v>
      </c>
      <c r="O351" t="str">
        <v>https://www.temu.com/goods.html?goods_id=605766094265315</v>
      </c>
    </row>
    <row r="352">
      <c r="A352" t="str">
        <v>TI / Redes</v>
      </c>
      <c r="B352" t="str">
        <v>ethernet cable</v>
      </c>
      <c r="C352" t="str">
        <v>601099901378284</v>
      </c>
      <c r="D352" t="str">
        <v>CAT6A Ethernet Cable UTP Booted, 360° Rotation Cat6* Network Cable with RJ45 Connector, 10* 500Mhz Patch Cord High Speed for Gaming, PS5, *, Modem, PC. (0.5M/1.64Ft, 1.5M/5Ft, */10Ft)</v>
      </c>
      <c r="E352">
        <v>7.8</v>
      </c>
      <c r="F352">
        <v>64.2</v>
      </c>
      <c r="G352">
        <v>87.85</v>
      </c>
      <c r="H352">
        <f>IF(E352="","",ROUND(E352*Resumen!$B$3,2))</f>
      </c>
      <c r="I352">
        <v>4.9</v>
      </c>
      <c r="J352">
        <v>7</v>
      </c>
      <c r="K352">
        <v>4100</v>
      </c>
      <c r="L352" t="str">
        <v>4.1K+ sold</v>
      </c>
      <c r="M352" t="str">
        <v/>
      </c>
      <c r="N352" t="str">
        <v>https://img.kwcdn.com/product/fancy/7b4ac9d7-4093-4286-b658-03e8045d4b19.jpg</v>
      </c>
      <c r="O352" t="str">
        <v>https://www.temu.com/goods.html?goods_id=601099901378284</v>
      </c>
    </row>
    <row r="353">
      <c r="A353" t="str">
        <v>TI / Redes</v>
      </c>
      <c r="B353" t="str">
        <v>wifi extender</v>
      </c>
      <c r="C353" t="str">
        <v>605628655336317</v>
      </c>
      <c r="D353" t="str">
        <v>1300Mbps Wifi 6 * Booster And Mesh Network Extender - Dual-Band 2.4Ghz/5Ghz, 6-Antenna * Wi-*, * Control for Easy Setup, * Whole-Home Coverage, Compatible with Smart Tvs, Gaming Consoles, Smartphones</v>
      </c>
      <c r="E353">
        <v>6.5</v>
      </c>
      <c r="F353">
        <v>39.99</v>
      </c>
      <c r="G353">
        <v>83.75</v>
      </c>
      <c r="H353">
        <f>IF(E353="","",ROUND(E353*Resumen!$B$3,2))</f>
      </c>
      <c r="I353">
        <v>4.5</v>
      </c>
      <c r="J353">
        <v>682</v>
      </c>
      <c r="K353">
        <v>4100</v>
      </c>
      <c r="L353" t="str">
        <v>4.1K+ sold</v>
      </c>
      <c r="M353" t="str">
        <v/>
      </c>
      <c r="N353" t="str">
        <v>https://img.kwcdn.com/product/open/06ca2d746ee64c09af5275e7c4e2ac3d-goods.jpeg</v>
      </c>
      <c r="O353" t="str">
        <v>https://www.temu.com/goods.html?goods_id=605628655336317</v>
      </c>
    </row>
    <row r="354">
      <c r="A354" t="str">
        <v>TI / Redes</v>
      </c>
      <c r="B354" t="str">
        <v>ethernet cable</v>
      </c>
      <c r="C354" t="str">
        <v>601099587210182</v>
      </c>
      <c r="D354" t="str">
        <v>Cat 8 Ethernet Cable 15 Ft High Speed Gaming, 40*, 2000Mhz Braided Flat LAN High Duty Long Internet Cable, Gold Plated RJ45 Connector for */Ps3/4/5/Pc</v>
      </c>
      <c r="E354">
        <v>5.15</v>
      </c>
      <c r="F354">
        <v>41.03</v>
      </c>
      <c r="G354">
        <v>87.45</v>
      </c>
      <c r="H354">
        <f>IF(E354="","",ROUND(E354*Resumen!$B$3,2))</f>
      </c>
      <c r="I354">
        <v>4.8</v>
      </c>
      <c r="J354">
        <v>525</v>
      </c>
      <c r="K354">
        <v>4000</v>
      </c>
      <c r="L354" t="str">
        <v>4K+ sold</v>
      </c>
      <c r="M354" t="str">
        <v/>
      </c>
      <c r="N354" t="str">
        <v>https://img.kwcdn.com/product/fancy/692858ac-4924-467b-ba77-c71e318b12ff.jpg</v>
      </c>
      <c r="O354" t="str">
        <v>https://www.temu.com/goods.html?goods_id=601099587210182</v>
      </c>
    </row>
    <row r="355">
      <c r="A355" t="str">
        <v>TI / Redes</v>
      </c>
      <c r="B355" t="str">
        <v>ethernet cable</v>
      </c>
      <c r="C355" t="str">
        <v>606137004980684</v>
      </c>
      <c r="D355" t="str">
        <v>* Ethernet Cable 1m/3.3ft/39.4inch, High Speed 40* 2000MHz, Braided, Blue, Compatible with Router, Modem, Laptop, PC, Gaming</v>
      </c>
      <c r="E355">
        <v>4.38</v>
      </c>
      <c r="F355">
        <v>5.48</v>
      </c>
      <c r="G355">
        <v>20.07</v>
      </c>
      <c r="H355">
        <f>IF(E355="","",ROUND(E355*Resumen!$B$3,2))</f>
      </c>
      <c r="I355">
        <v>4.9</v>
      </c>
      <c r="J355">
        <v>24</v>
      </c>
      <c r="K355">
        <v>3900</v>
      </c>
      <c r="L355" t="str">
        <v>3.9K+ sold</v>
      </c>
      <c r="M355" t="str">
        <v/>
      </c>
      <c r="N355" t="str">
        <v>https://img.kwcdn.com/product/fancy/abf667db-f123-4efe-ab6b-2a1425623738.jpg</v>
      </c>
      <c r="O355" t="str">
        <v>https://www.temu.com/goods.html?goods_id=606137004980684</v>
      </c>
    </row>
    <row r="356">
      <c r="A356" t="str">
        <v>TI / Redes</v>
      </c>
      <c r="B356" t="str">
        <v>wifi extender</v>
      </c>
      <c r="C356" t="str">
        <v>605899422807965</v>
      </c>
      <c r="D356" t="str">
        <v>6-Antenna Wifi Range Extender, * Wireless * * Repeater with Ethernet Port, Plug And Play, Easy to Set, 8500 * Wide Coverage Wireless Internet Amplifier, Suitable for Home, Office, *</v>
      </c>
      <c r="E356">
        <v>10.38</v>
      </c>
      <c r="F356">
        <v>39.18</v>
      </c>
      <c r="G356">
        <v>73.51</v>
      </c>
      <c r="H356">
        <f>IF(E356="","",ROUND(E356*Resumen!$B$3,2))</f>
      </c>
      <c r="I356">
        <v>4.6</v>
      </c>
      <c r="J356">
        <v>428</v>
      </c>
      <c r="K356">
        <v>3700</v>
      </c>
      <c r="L356" t="str">
        <v>3.7K+ sold</v>
      </c>
      <c r="M356" t="str">
        <v/>
      </c>
      <c r="N356" t="str">
        <v>https://img.kwcdn.com/product/open/14acb2ebd2d9402eabe039651b301c67-goods.jpeg</v>
      </c>
      <c r="O356" t="str">
        <v>https://www.temu.com/goods.html?goods_id=605899422807965</v>
      </c>
    </row>
    <row r="357">
      <c r="A357" t="str">
        <v>TI / Redes</v>
      </c>
      <c r="B357" t="str">
        <v>ethernet cable</v>
      </c>
      <c r="C357" t="str">
        <v>601099874364171</v>
      </c>
      <c r="D357" t="str">
        <v>Black *6 Ethernet Cable with Gold-Plated Connectors, * in Lengths of 19.69inch, 39.37inch, 59.06inch, 78.74inch, 118.11inch, 196.85inch, And 314.96inch. Suitable for * Indoor And Outdoor Use</v>
      </c>
      <c r="E357">
        <v>1.44</v>
      </c>
      <c r="F357">
        <v>14.2</v>
      </c>
      <c r="G357">
        <v>89.86</v>
      </c>
      <c r="H357">
        <f>IF(E357="","",ROUND(E357*Resumen!$B$3,2))</f>
      </c>
      <c r="I357">
        <v>4.3</v>
      </c>
      <c r="J357">
        <v>15</v>
      </c>
      <c r="K357">
        <v>3200</v>
      </c>
      <c r="L357" t="str">
        <v>3.2K+ sold</v>
      </c>
      <c r="M357" t="str">
        <v/>
      </c>
      <c r="N357" t="str">
        <v>https://img.kwcdn.com/product/fancy/3db0e7fb-0a6f-45b2-855e-895a0be5ac68.jpg</v>
      </c>
      <c r="O357" t="str">
        <v>https://www.temu.com/goods.html?goods_id=601099874364171</v>
      </c>
    </row>
    <row r="358">
      <c r="A358" t="str">
        <v>TI / Redes</v>
      </c>
      <c r="B358" t="str">
        <v>ethernet cable</v>
      </c>
      <c r="C358" t="str">
        <v>601105362847604</v>
      </c>
      <c r="D358" t="str">
        <v>* * Ethernet Cable *-787.4inch 40* 2000Mhz RJ45 * Network Nylon Braided Internet Lan Cord for Laptop PS 5/ 4 Router</v>
      </c>
      <c r="E358">
        <v>4.69</v>
      </c>
      <c r="F358">
        <v>26.4</v>
      </c>
      <c r="G358">
        <v>82.23</v>
      </c>
      <c r="H358">
        <f>IF(E358="","",ROUND(E358*Resumen!$B$3,2))</f>
      </c>
      <c r="I358">
        <v>4.7</v>
      </c>
      <c r="J358">
        <v>9</v>
      </c>
      <c r="K358">
        <v>3100</v>
      </c>
      <c r="L358" t="str">
        <v>3.1K+ sold</v>
      </c>
      <c r="M358" t="str">
        <v/>
      </c>
      <c r="N358" t="str">
        <v>https://img.kwcdn.com/product/open/dadd5d6675e44c8b8ce3eb2aec5997e2-goods.jpeg</v>
      </c>
      <c r="O358" t="str">
        <v>https://www.temu.com/goods.html?goods_id=601105362847604</v>
      </c>
    </row>
    <row r="359">
      <c r="A359" t="str">
        <v>TI / Redes</v>
      </c>
      <c r="B359" t="str">
        <v>ethernet cable</v>
      </c>
      <c r="C359" t="str">
        <v>601099639065720</v>
      </c>
      <c r="D359" t="str">
        <v>39.37/78.74/118.11/196.85/393.7/787.4/1181.1inch * Cat 6 Ethernet Cable - 10* Outdoor &amp; Indoor Support for * * Network, Flat Internet RJ45 LAN Patch Cords with Clips - Solid Computer Wire for Router, Modem, PS4/5, *, Gaming</v>
      </c>
      <c r="E359">
        <v>2.07</v>
      </c>
      <c r="F359">
        <v>23.7</v>
      </c>
      <c r="G359">
        <v>91.27</v>
      </c>
      <c r="H359">
        <f>IF(E359="","",ROUND(E359*Resumen!$B$3,2))</f>
      </c>
      <c r="I359">
        <v>4.8</v>
      </c>
      <c r="J359">
        <v>18</v>
      </c>
      <c r="K359">
        <v>3000</v>
      </c>
      <c r="L359" t="str">
        <v>3K+ sold</v>
      </c>
      <c r="M359" t="str">
        <v/>
      </c>
      <c r="N359" t="str">
        <v>https://img.kwcdn.com/product/fancy/3766d82f-6306-4927-8294-2fe79e6101d6.jpg</v>
      </c>
      <c r="O359" t="str">
        <v>https://www.temu.com/goods.html?goods_id=601099639065720</v>
      </c>
    </row>
    <row r="360">
      <c r="A360" t="str">
        <v>TI / Redes</v>
      </c>
      <c r="B360" t="str">
        <v>ethernet cable</v>
      </c>
      <c r="C360" t="str">
        <v>601100031132224</v>
      </c>
      <c r="D360" t="str">
        <v>984.25inch/1181.1inch/1574.8inch/1968.5inch CAT6 Ethernet Cable with RJ45 Golden Connector, Suitable for * Indoor And Outdoor Use. This Heavy-Duty, * LAN Network Wire Is Ideal for Routers, Modems, And * Devices</v>
      </c>
      <c r="E360">
        <v>15.62</v>
      </c>
      <c r="F360">
        <v>112.34</v>
      </c>
      <c r="G360">
        <v>86.1</v>
      </c>
      <c r="H360">
        <f>IF(E360="","",ROUND(E360*Resumen!$B$3,2))</f>
      </c>
      <c r="I360">
        <v>4.5</v>
      </c>
      <c r="J360">
        <v>8</v>
      </c>
      <c r="K360">
        <v>2800</v>
      </c>
      <c r="L360" t="str">
        <v>2.8K+ sold</v>
      </c>
      <c r="M360" t="str">
        <v/>
      </c>
      <c r="N360" t="str">
        <v>https://img.kwcdn.com/product/fancy/63a585da-2adb-4321-88cd-1a5cb74d1a0f.jpg</v>
      </c>
      <c r="O360" t="str">
        <v>https://www.temu.com/goods.html?goods_id=601100031132224</v>
      </c>
    </row>
    <row r="361">
      <c r="A361" t="str">
        <v>TI / Redes</v>
      </c>
      <c r="B361" t="str">
        <v>wifi extender</v>
      </c>
      <c r="C361" t="str">
        <v>601099580040709</v>
      </c>
      <c r="D361" t="str">
        <v>2026 Fastest WiFi Extender/Booster | Latest Release 5GHz &amp; 2.4GHz Up to 89% Faster | * Coverage Than Ever 1200m WiFi Extenders * Booster for Home | Internet Booster WiFi Repeater, W/Ethernet Port</v>
      </c>
      <c r="E361">
        <v>28.08</v>
      </c>
      <c r="F361">
        <v>29.99</v>
      </c>
      <c r="G361">
        <v>6.37</v>
      </c>
      <c r="H361">
        <f>IF(E361="","",ROUND(E361*Resumen!$B$3,2))</f>
      </c>
      <c r="I361">
        <v>4.5</v>
      </c>
      <c r="J361">
        <v>387</v>
      </c>
      <c r="K361">
        <v>2700</v>
      </c>
      <c r="L361" t="str">
        <v>2.7K+ sold</v>
      </c>
      <c r="M361" t="str">
        <v/>
      </c>
      <c r="N361" t="str">
        <v>https://img.kwcdn.com/product/fancy/83117be3-1893-44d9-bce9-704cb6b3386e.jpg</v>
      </c>
      <c r="O361" t="str">
        <v>https://www.temu.com/goods.html?goods_id=601099580040709</v>
      </c>
    </row>
    <row r="362">
      <c r="A362" t="str">
        <v>TI / Redes</v>
      </c>
      <c r="B362" t="str">
        <v>wifi extender</v>
      </c>
      <c r="C362" t="str">
        <v>606382556333056</v>
      </c>
      <c r="D362" t="str">
        <v>* Booster, 1200Mbps, Wi-Fi 6, Dual-Band 2.4G/5GHz, 6 * (White), Wide Coverage, Strong *, Compatible with Smart Routers, Modern Wi-Fi Extender, CompactWiFi * Amplifier, 6 *, Network Extender, Dual-Band 2.4GHz/5GHz</v>
      </c>
      <c r="E362">
        <v>6.5</v>
      </c>
      <c r="F362">
        <v>57.98</v>
      </c>
      <c r="G362">
        <v>88.79</v>
      </c>
      <c r="H362">
        <f>IF(E362="","",ROUND(E362*Resumen!$B$3,2))</f>
      </c>
      <c r="I362">
        <v>4.5</v>
      </c>
      <c r="J362">
        <v>414</v>
      </c>
      <c r="K362">
        <v>2700</v>
      </c>
      <c r="L362" t="str">
        <v>2.7K+ sold</v>
      </c>
      <c r="M362" t="str">
        <v/>
      </c>
      <c r="N362" t="str">
        <v>https://img.kwcdn.com/product/fancy/497f1499-d7f3-4179-862e-4b5834534d9f.jpg</v>
      </c>
      <c r="O362" t="str">
        <v>https://www.temu.com/goods.html?goods_id=606382556333056</v>
      </c>
    </row>
    <row r="363">
      <c r="A363" t="str">
        <v>TI / Redes</v>
      </c>
      <c r="B363" t="str">
        <v>ethernet cable</v>
      </c>
      <c r="C363" t="str">
        <v>601100165768374</v>
      </c>
      <c r="D363" t="str">
        <v>38.98inch~1964.57inch Ethernet Cable, Cat 6 Internet Cable with 1* Up to 125Mhz High Speed Ethernet Cable, RJ45 LAN Cable Patch Cord for Modem Router Gaming PC PS4/5/6 *, Suitable for Home/Office/Cafe/Hotel, Grey</v>
      </c>
      <c r="E363">
        <v>1.42</v>
      </c>
      <c r="F363">
        <v>7.39</v>
      </c>
      <c r="G363">
        <v>80.78</v>
      </c>
      <c r="H363">
        <f>IF(E363="","",ROUND(E363*Resumen!$B$3,2))</f>
      </c>
      <c r="I363">
        <v>4.9</v>
      </c>
      <c r="J363">
        <v>14</v>
      </c>
      <c r="K363">
        <v>2600</v>
      </c>
      <c r="L363" t="str">
        <v>2.6K+ sold</v>
      </c>
      <c r="M363" t="str">
        <v/>
      </c>
      <c r="N363" t="str">
        <v>https://img.kwcdn.com/product/fancy/cad61f0d-94a9-4cc3-98b1-f3e74690c5ec.jpg</v>
      </c>
      <c r="O363" t="str">
        <v>https://www.temu.com/goods.html?goods_id=601100165768374</v>
      </c>
    </row>
    <row r="364">
      <c r="A364" t="str">
        <v>TI / Redes</v>
      </c>
      <c r="B364" t="str">
        <v>ethernet cable</v>
      </c>
      <c r="C364" t="str">
        <v>601101272004866</v>
      </c>
      <c r="D364" t="str">
        <v>Cat 8 Ethernet Cable 100ft Flat Braided, High Speed 40* 2000Mhz Internet Cable with Gold Plated RJ45 Network LAN Cable *, Heavy Duty Ethernet Cord Compatible for PS4/ 5, for Modems, PC/ Laptop</v>
      </c>
      <c r="E364">
        <v>5.4</v>
      </c>
      <c r="F364">
        <v>7.92</v>
      </c>
      <c r="G364">
        <v>31.82</v>
      </c>
      <c r="H364">
        <f>IF(E364="","",ROUND(E364*Resumen!$B$3,2))</f>
      </c>
      <c r="I364">
        <v>4.8</v>
      </c>
      <c r="J364">
        <v>286</v>
      </c>
      <c r="K364">
        <v>2600</v>
      </c>
      <c r="L364" t="str">
        <v>2.6K+ sold</v>
      </c>
      <c r="M364" t="str">
        <v/>
      </c>
      <c r="N364" t="str">
        <v>https://img.kwcdn.com/product/open/4c44b0f64f6d485682069f017d6a251e-goods.jpeg</v>
      </c>
      <c r="O364" t="str">
        <v>https://www.temu.com/goods.html?goods_id=601101272004866</v>
      </c>
    </row>
    <row r="365">
      <c r="A365" t="str">
        <v>TI / Redes</v>
      </c>
      <c r="B365" t="str">
        <v>wifi extender</v>
      </c>
      <c r="C365" t="str">
        <v>601099576466011</v>
      </c>
      <c r="D365" t="str">
        <v>2026 WiFi Extender, WiFi Booster, 1200Mbps WiFi * Booster for Home 10000 * and 105 Devices * Setup, Dual Band 2.4G/5G Outdoor * Amplifier with Ethernet Port, 4 * 360° Full Coverage, Supports Ethernet Port</v>
      </c>
      <c r="E365">
        <v>10.21</v>
      </c>
      <c r="F365">
        <v>54.99</v>
      </c>
      <c r="G365">
        <v>81.43</v>
      </c>
      <c r="H365">
        <f>IF(E365="","",ROUND(E365*Resumen!$B$3,2))</f>
      </c>
      <c r="I365">
        <v>4.6</v>
      </c>
      <c r="J365">
        <v>352</v>
      </c>
      <c r="K365">
        <v>2400</v>
      </c>
      <c r="L365" t="str">
        <v>2.4K+ sold</v>
      </c>
      <c r="M365" t="str">
        <v/>
      </c>
      <c r="N365" t="str">
        <v>https://img.kwcdn.com/product/fancy/b0a9723b-da4e-401e-928e-c259585ff349.jpg</v>
      </c>
      <c r="O365" t="str">
        <v>https://www.temu.com/goods.html?goods_id=601099576466011</v>
      </c>
    </row>
    <row r="366">
      <c r="A366" t="str">
        <v>TI / Redes</v>
      </c>
      <c r="B366" t="str">
        <v>ethernet cable</v>
      </c>
      <c r="C366" t="str">
        <v>601101966542280</v>
      </c>
      <c r="D366" t="str">
        <v>1.6ft/3.3ft/5ft/6.6ft/10ft/16ft/33ft/50ft/65ft/82ft/100ft Cat6 Ethernet Cable, Long Internet Cables * Patch Cord Flat Design 1* for 250Mhz/s UTP for Console, PS3, PS4, PS5, Switch, Router, Modem, Patch Panel, PC, TV, Home Office</v>
      </c>
      <c r="E366">
        <v>1.57</v>
      </c>
      <c r="F366">
        <v>14.18</v>
      </c>
      <c r="G366">
        <v>88.93</v>
      </c>
      <c r="H366">
        <f>IF(E366="","",ROUND(E366*Resumen!$B$3,2))</f>
      </c>
      <c r="I366">
        <v>4.5</v>
      </c>
      <c r="J366">
        <v>42</v>
      </c>
      <c r="K366">
        <v>2200</v>
      </c>
      <c r="L366" t="str">
        <v>2.2K+ sold</v>
      </c>
      <c r="M366" t="str">
        <v/>
      </c>
      <c r="N366" t="str">
        <v>https://img.kwcdn.com/product/fancy/2c721269-d0c6-4d4a-8f38-4751587a992a.jpg</v>
      </c>
      <c r="O366" t="str">
        <v>https://www.temu.com/goods.html?goods_id=601101966542280</v>
      </c>
    </row>
    <row r="367">
      <c r="A367" t="str">
        <v>TI / Redes</v>
      </c>
      <c r="B367" t="str">
        <v>ethernet cable</v>
      </c>
      <c r="C367" t="str">
        <v>601100264824072</v>
      </c>
      <c r="D367" t="str">
        <v>SUNNY * Cat6 Flat Ethernet Cable, 250Mhz 1000Mbps, Male RJ45 to Male RJ45 - * Routers, Modems, Laptops, And Macbooks</v>
      </c>
      <c r="E367">
        <v>1.4</v>
      </c>
      <c r="F367">
        <v>2.77</v>
      </c>
      <c r="G367">
        <v>49.46</v>
      </c>
      <c r="H367">
        <f>IF(E367="","",ROUND(E367*Resumen!$B$3,2))</f>
      </c>
      <c r="I367">
        <v>4.6</v>
      </c>
      <c r="J367">
        <v>25</v>
      </c>
      <c r="K367">
        <v>2000</v>
      </c>
      <c r="L367" t="str">
        <v>2K+ sold</v>
      </c>
      <c r="M367" t="str">
        <v/>
      </c>
      <c r="N367" t="str">
        <v>https://img.kwcdn.com/product/fancy/222843a4-5905-47a4-9636-3410ba781da8.jpg</v>
      </c>
      <c r="O367" t="str">
        <v>https://www.temu.com/goods.html?goods_id=601100264824072</v>
      </c>
    </row>
    <row r="368">
      <c r="A368" t="str">
        <v>TI / Redes</v>
      </c>
      <c r="B368" t="str">
        <v>wifi extender</v>
      </c>
      <c r="C368" t="str">
        <v>606305632810527</v>
      </c>
      <c r="D368" t="str">
        <v>Wifi Extender * Booster, 1800Mbps Wifi 6 Dual Band Repeater, 6 * for * Coverage, Stable Connection for Gaming And 4K Streaming</v>
      </c>
      <c r="E368">
        <v>6.5</v>
      </c>
      <c r="F368">
        <v>39.99</v>
      </c>
      <c r="G368">
        <v>83.75</v>
      </c>
      <c r="H368">
        <f>IF(E368="","",ROUND(E368*Resumen!$B$3,2))</f>
      </c>
      <c r="I368">
        <v>4.5</v>
      </c>
      <c r="J368">
        <v>185</v>
      </c>
      <c r="K368">
        <v>1600</v>
      </c>
      <c r="L368" t="str">
        <v>1.6K+ sold</v>
      </c>
      <c r="M368" t="str">
        <v/>
      </c>
      <c r="N368" t="str">
        <v>https://img.kwcdn.com/product/open/e491e964446a4b17862dba4316fca753-goods.jpeg</v>
      </c>
      <c r="O368" t="str">
        <v>https://www.temu.com/goods.html?goods_id=606305632810527</v>
      </c>
    </row>
    <row r="369">
      <c r="A369" t="str">
        <v>TI / Redes</v>
      </c>
      <c r="B369" t="str">
        <v>wifi extender</v>
      </c>
      <c r="C369" t="str">
        <v>607194808470039</v>
      </c>
      <c r="D369" t="str">
        <v>WiFi Extender, WiFi Booster, 6 Powerful * Covers 5500 * and 45 Devices, Internet Booster - 2 Gigabit LAN Ports, Quick Setup, Home Wireless * Booster</v>
      </c>
      <c r="E369">
        <v>9.1</v>
      </c>
      <c r="F369">
        <v>47.29</v>
      </c>
      <c r="G369">
        <v>80.76</v>
      </c>
      <c r="H369">
        <f>IF(E369="","",ROUND(E369*Resumen!$B$3,2))</f>
      </c>
      <c r="I369">
        <v>5</v>
      </c>
      <c r="J369">
        <v>1</v>
      </c>
      <c r="K369">
        <v>1500</v>
      </c>
      <c r="L369" t="str">
        <v>1.5K+ sold</v>
      </c>
      <c r="M369" t="str">
        <v/>
      </c>
      <c r="N369" t="str">
        <v>https://img.kwcdn.com/product/fancy/34007014-d833-4ee5-9c42-3f5285f36448.jpg</v>
      </c>
      <c r="O369" t="str">
        <v>https://www.temu.com/goods.html?goods_id=607194808470039</v>
      </c>
    </row>
    <row r="370">
      <c r="A370" t="str">
        <v>TI / Redes</v>
      </c>
      <c r="B370" t="str">
        <v>ethernet cable</v>
      </c>
      <c r="C370" t="str">
        <v>601101094417044</v>
      </c>
      <c r="D370" t="str">
        <v>19.69inch/39.37inch/59.06inch/78.74inch/118.11inch/196.85inch Flat Patch Cord Cat6 Ethernet Cable, Long Internet Cables * Patch Cord Flat Design 1* for 250Mhz/s UTP for Console, PS3, PS4, PS5, Switch, Router, Modem, Patch Panel, PC, TV</v>
      </c>
      <c r="E370">
        <v>1.37</v>
      </c>
      <c r="H370">
        <f>IF(E370="","",ROUND(E370*Resumen!$B$3,2))</f>
      </c>
      <c r="I370">
        <v>5</v>
      </c>
      <c r="J370">
        <v>1</v>
      </c>
      <c r="K370">
        <v>1400</v>
      </c>
      <c r="L370" t="str">
        <v>1.4K+ sold</v>
      </c>
      <c r="M370" t="str">
        <v/>
      </c>
      <c r="N370" t="str">
        <v>https://img.kwcdn.com/product/fancy/bb4c26fd-a19b-4eae-aafd-b81258ce05de.jpg</v>
      </c>
      <c r="O370" t="str">
        <v>https://www.temu.com/goods.html?goods_id=601101094417044</v>
      </c>
    </row>
    <row r="371">
      <c r="A371" t="str">
        <v>TI / Redes</v>
      </c>
      <c r="B371" t="str">
        <v>wifi extender</v>
      </c>
      <c r="C371" t="str">
        <v>605641137609197</v>
      </c>
      <c r="D371" t="str">
        <v>* 1200Mbps Dual-Band Wifi Range Extender with Ethernet Port - Powerful Four *, * Coverage, Clear Wifi Dead Angle, Ap/Relay Mode, Very Suitable for Home And Office Use</v>
      </c>
      <c r="E371">
        <v>14.76</v>
      </c>
      <c r="H371">
        <f>IF(E371="","",ROUND(E371*Resumen!$B$3,2))</f>
      </c>
      <c r="I371">
        <v>4.6</v>
      </c>
      <c r="J371">
        <v>292</v>
      </c>
      <c r="K371">
        <v>1400</v>
      </c>
      <c r="L371" t="str">
        <v>1.4K+ sold</v>
      </c>
      <c r="M371" t="str">
        <v/>
      </c>
      <c r="N371" t="str">
        <v>https://img.kwcdn.com/product/fancy/afbdd245-877d-4169-a0c1-4af30f94ff25.jpg</v>
      </c>
      <c r="O371" t="str">
        <v>https://www.temu.com/goods.html?goods_id=605641137609197</v>
      </c>
    </row>
    <row r="372">
      <c r="A372" t="str">
        <v>TI / Redes</v>
      </c>
      <c r="B372" t="str">
        <v>ethernet cable</v>
      </c>
      <c r="C372" t="str">
        <v>605831793854950</v>
      </c>
      <c r="D372" t="str">
        <v>* Cat6 Outdoor Ethernet Cable 50M/164FT, 24AWG 10* Cat6 Cable Cord * LLDPE UV Jacket, Internet Network Cable with 20 Ties Support POE Cat6 *E *, CCA, UTP for PC</v>
      </c>
      <c r="E372">
        <v>5.93</v>
      </c>
      <c r="F372">
        <v>6.95</v>
      </c>
      <c r="G372">
        <v>14.68</v>
      </c>
      <c r="H372">
        <f>IF(E372="","",ROUND(E372*Resumen!$B$3,2))</f>
      </c>
      <c r="I372">
        <v>3.7</v>
      </c>
      <c r="J372">
        <v>3</v>
      </c>
      <c r="K372">
        <v>1400</v>
      </c>
      <c r="L372" t="str">
        <v>1.4K+ sold</v>
      </c>
      <c r="M372" t="str">
        <v/>
      </c>
      <c r="N372" t="str">
        <v>https://img.kwcdn.com/product/fancy/2422b2bd-de1e-4ef1-935d-9e3e2c40a033.jpg</v>
      </c>
      <c r="O372" t="str">
        <v>https://www.temu.com/goods.html?goods_id=605831793854950</v>
      </c>
    </row>
    <row r="373">
      <c r="A373" t="str">
        <v>TI / Redes</v>
      </c>
      <c r="B373" t="str">
        <v>ethernet cable</v>
      </c>
      <c r="C373" t="str">
        <v>601102850392619</v>
      </c>
      <c r="D373" t="str">
        <v>37.72Ft/54.12Ft/70.52Ft/106.6Ft/136.62Ft /174.6Ft * Cat6 Ethernet Cable - Rj45 Lan Patch Cord with Clamp for Routers, Modems, Ps4/5, *, Pcs, Switch, Tv Box, Printer - Durable Solid State Design</v>
      </c>
      <c r="E373">
        <v>7.6</v>
      </c>
      <c r="F373">
        <v>13.75</v>
      </c>
      <c r="G373">
        <v>44.73</v>
      </c>
      <c r="H373">
        <f>IF(E373="","",ROUND(E373*Resumen!$B$3,2))</f>
      </c>
      <c r="I373">
        <v>5</v>
      </c>
      <c r="J373">
        <v>1</v>
      </c>
      <c r="K373">
        <v>1300</v>
      </c>
      <c r="L373" t="str">
        <v>1.3K+ sold</v>
      </c>
      <c r="M373" t="str">
        <v/>
      </c>
      <c r="N373" t="str">
        <v>https://img.kwcdn.com/product/fancy/05b584e2-f186-449c-9340-8e4a8a09db76.jpg</v>
      </c>
      <c r="O373" t="str">
        <v>https://www.temu.com/goods.html?goods_id=601102850392619</v>
      </c>
    </row>
    <row r="374">
      <c r="A374" t="str">
        <v>TI / Redes</v>
      </c>
      <c r="B374" t="str">
        <v>ethernet cable</v>
      </c>
      <c r="C374" t="str">
        <v>605785471976789</v>
      </c>
      <c r="D374" t="str">
        <v>White Ethernet Cable, *, Cat6, RJ45 *, T568 Standard, 40* Transfer Speed, for Router Modem Switch</v>
      </c>
      <c r="E374">
        <v>1.69</v>
      </c>
      <c r="F374">
        <v>1.82</v>
      </c>
      <c r="G374">
        <v>7.14</v>
      </c>
      <c r="H374">
        <f>IF(E374="","",ROUND(E374*Resumen!$B$3,2))</f>
      </c>
      <c r="I374">
        <v>3.7</v>
      </c>
      <c r="J374">
        <v>3</v>
      </c>
      <c r="K374">
        <v>1100</v>
      </c>
      <c r="L374" t="str">
        <v>1.1K+ sold</v>
      </c>
      <c r="M374" t="str">
        <v/>
      </c>
      <c r="N374" t="str">
        <v>https://img.kwcdn.com/product/open/7155e26320ce4e99aeff141f69b93856-goods.jpeg</v>
      </c>
      <c r="O374" t="str">
        <v>https://www.temu.com/goods.html?goods_id=605785471976789</v>
      </c>
    </row>
    <row r="375">
      <c r="A375" t="str">
        <v>TI / Redes</v>
      </c>
      <c r="B375" t="str">
        <v>ethernet cable</v>
      </c>
      <c r="C375" t="str">
        <v>606183578521388</v>
      </c>
      <c r="D375" t="str">
        <v>* 10-Gigabit Ethernet Cable with 90-degree Double Bends, Ultra-high Speed 40*, Category 8 Cable, Flat *, Double-pair Shielded, Suitable for Routers, TVs, and Computers</v>
      </c>
      <c r="E375">
        <v>2.51</v>
      </c>
      <c r="F375">
        <v>6.83</v>
      </c>
      <c r="G375">
        <v>63.25</v>
      </c>
      <c r="H375">
        <f>IF(E375="","",ROUND(E375*Resumen!$B$3,2))</f>
      </c>
      <c r="K375">
        <v>1100</v>
      </c>
      <c r="L375" t="str">
        <v>1.1K+ sold</v>
      </c>
      <c r="M375" t="str">
        <v/>
      </c>
      <c r="N375" t="str">
        <v>https://img.kwcdn.com/product/fancy/90bd1ca5-1409-40b0-8aba-00c12d5db544.jpg</v>
      </c>
      <c r="O375" t="str">
        <v>https://www.temu.com/goods.html?goods_id=606183578521388</v>
      </c>
    </row>
    <row r="376">
      <c r="A376" t="str">
        <v>TI / Redes</v>
      </c>
      <c r="B376" t="str">
        <v>ethernet cable</v>
      </c>
      <c r="C376" t="str">
        <v>601105761810811</v>
      </c>
      <c r="D376" t="str">
        <v>Cat 6 Ethernet Cable 1.6ft-6.6ft (8-Pack), Cat 6 Ethernet Patch Cable 10*, * UTP Cat 6 Network Cable Pure Copper, Cat 6 Home and Office Network Cable</v>
      </c>
      <c r="E376">
        <v>14.27</v>
      </c>
      <c r="H376">
        <f>IF(E376="","",ROUND(E376*Resumen!$B$3,2))</f>
      </c>
      <c r="I376">
        <v>5</v>
      </c>
      <c r="J376">
        <v>2</v>
      </c>
      <c r="K376">
        <v>962</v>
      </c>
      <c r="L376" t="str">
        <v>962 sold</v>
      </c>
      <c r="M376" t="str">
        <v/>
      </c>
      <c r="N376" t="str">
        <v>https://img.kwcdn.com/product/fancy/6b0684ef-2b20-4acf-a933-ffedb0261846.jpg</v>
      </c>
      <c r="O376" t="str">
        <v>https://www.temu.com/goods.html?goods_id=601105761810811</v>
      </c>
    </row>
    <row r="377">
      <c r="A377" t="str">
        <v>TI / Redes</v>
      </c>
      <c r="B377" t="str">
        <v>ethernet cable</v>
      </c>
      <c r="C377" t="str">
        <v>601101760533670</v>
      </c>
      <c r="D377" t="str">
        <v>* Cat6 Ethernet Cable 1653in/2048in/2440in/3228in with Golden-Plated RJ45 Connectors - 1* High Speed, 250MHz/s, Ultra * UHD-P and 4K HDTV for PS3, PS4, PS5, Switch, Router, Modem, Patch Panel, PC, TV, Home Office, Network</v>
      </c>
      <c r="E377">
        <v>10.98</v>
      </c>
      <c r="F377">
        <v>26.37</v>
      </c>
      <c r="G377">
        <v>58.36</v>
      </c>
      <c r="H377">
        <f>IF(E377="","",ROUND(E377*Resumen!$B$3,2))</f>
      </c>
      <c r="I377">
        <v>5</v>
      </c>
      <c r="J377">
        <v>5</v>
      </c>
      <c r="K377">
        <v>957</v>
      </c>
      <c r="L377" t="str">
        <v>957 sold</v>
      </c>
      <c r="M377" t="str">
        <v/>
      </c>
      <c r="N377" t="str">
        <v>https://img.kwcdn.com/product/fancy/715dc3fe-fd2b-4e0a-83ab-7cf083839a13.jpg</v>
      </c>
      <c r="O377" t="str">
        <v>https://www.temu.com/goods.html?goods_id=601101760533670</v>
      </c>
    </row>
    <row r="378">
      <c r="A378" t="str">
        <v>TI / Redes</v>
      </c>
      <c r="B378" t="str">
        <v>wifi extender</v>
      </c>
      <c r="C378" t="str">
        <v>606257515735323</v>
      </c>
      <c r="D378" t="str">
        <v>Wifi Extender, 2026 Fastest Wifi Booster 1800Mbps Dual Band (5Ghz/ 2.4Ghz) Wifi Extenders * Booster for Home, Wifi Repeater with Ethernet Port Covers Up to 10000Sq. Ft And 85+ Devices</v>
      </c>
      <c r="E378">
        <v>8.77</v>
      </c>
      <c r="F378">
        <v>24.73</v>
      </c>
      <c r="G378">
        <v>64.54</v>
      </c>
      <c r="H378">
        <f>IF(E378="","",ROUND(E378*Resumen!$B$3,2))</f>
      </c>
      <c r="I378">
        <v>4.8</v>
      </c>
      <c r="J378">
        <v>140</v>
      </c>
      <c r="K378">
        <v>956</v>
      </c>
      <c r="L378" t="str">
        <v>956 sold</v>
      </c>
      <c r="M378" t="str">
        <v/>
      </c>
      <c r="N378" t="str">
        <v>https://img.kwcdn.com/product/fancy/a27ead48-8c52-43d8-b7e1-89a672223066.jpg</v>
      </c>
      <c r="O378" t="str">
        <v>https://www.temu.com/goods.html?goods_id=606257515735323</v>
      </c>
    </row>
    <row r="379">
      <c r="A379" t="str">
        <v>TI / Redes</v>
      </c>
      <c r="B379" t="str">
        <v>ethernet cable</v>
      </c>
      <c r="C379" t="str">
        <v>601104418595082</v>
      </c>
      <c r="D379" t="str">
        <v>3/5pcs of Cat 6 Ethernet Cable, *6 Gigabit LAN Network RJ45 * Patch Cord, 250Mhz, 1* for PC, *, PS4, PS5, Modem, And Router</v>
      </c>
      <c r="E379">
        <v>4.45</v>
      </c>
      <c r="F379">
        <v>15.85</v>
      </c>
      <c r="G379">
        <v>71.92</v>
      </c>
      <c r="H379">
        <f>IF(E379="","",ROUND(E379*Resumen!$B$3,2))</f>
      </c>
      <c r="I379">
        <v>5</v>
      </c>
      <c r="J379">
        <v>1</v>
      </c>
      <c r="K379">
        <v>872</v>
      </c>
      <c r="L379" t="str">
        <v>872 sold</v>
      </c>
      <c r="M379" t="str">
        <v/>
      </c>
      <c r="N379" t="str">
        <v>https://img.kwcdn.com/product/fancy/4106f02b-4560-4fcd-8e52-975780b93226.jpg</v>
      </c>
      <c r="O379" t="str">
        <v>https://www.temu.com/goods.html?goods_id=601104418595082</v>
      </c>
    </row>
    <row r="380">
      <c r="A380" t="str">
        <v>TI / Redes</v>
      </c>
      <c r="B380" t="str">
        <v>ethernet cable</v>
      </c>
      <c r="C380" t="str">
        <v>601105128221527</v>
      </c>
      <c r="D380" t="str">
        <v>CAT6A Gold-Plated Connectors, * Compatible, Shielded, Anti-Interference, White Ethernet Cable, 396.06in/588.*/785.83in/983.86in/98.0ft Long Network Cable, Suitable for 250MHz/s UTP Console, PS3, PS4, PS5, *, Router, Modem, PC, Computer</v>
      </c>
      <c r="E380">
        <v>17.36</v>
      </c>
      <c r="H380">
        <f>IF(E380="","",ROUND(E380*Resumen!$B$3,2))</f>
      </c>
      <c r="I380">
        <v>4.8</v>
      </c>
      <c r="J380">
        <v>17</v>
      </c>
      <c r="K380">
        <v>854</v>
      </c>
      <c r="L380" t="str">
        <v>854 sold</v>
      </c>
      <c r="M380" t="str">
        <v/>
      </c>
      <c r="N380" t="str">
        <v>https://img.kwcdn.com/product/fancy/c66e3c89-778d-43ad-86c4-ad6a50eb2ebb.jpg</v>
      </c>
      <c r="O380" t="str">
        <v>https://www.temu.com/goods.html?goods_id=601105128221527</v>
      </c>
    </row>
    <row r="381">
      <c r="A381" t="str">
        <v>TI / Redes</v>
      </c>
      <c r="B381" t="str">
        <v>ethernet cable</v>
      </c>
      <c r="C381" t="str">
        <v>601104337468783</v>
      </c>
      <c r="D381" t="str">
        <v>White CAT5E CAT6 CAT6A Flat Ethernet Cable with Snagless RJ45 Connector, Suitable for Routers, Modems, Switches, Game Consoles, Streaming Devices, 1.5ft - 96ft</v>
      </c>
      <c r="E381">
        <v>1.72</v>
      </c>
      <c r="F381">
        <v>12.73</v>
      </c>
      <c r="G381">
        <v>86.49</v>
      </c>
      <c r="H381">
        <f>IF(E381="","",ROUND(E381*Resumen!$B$3,2))</f>
      </c>
      <c r="I381">
        <v>4.5</v>
      </c>
      <c r="J381">
        <v>4</v>
      </c>
      <c r="K381">
        <v>804</v>
      </c>
      <c r="L381" t="str">
        <v>804 sold</v>
      </c>
      <c r="M381" t="str">
        <v/>
      </c>
      <c r="N381" t="str">
        <v>https://img.kwcdn.com/product/fancy/6abd523a-1334-49ff-8a66-f911c4a32177.jpg</v>
      </c>
      <c r="O381" t="str">
        <v>https://www.temu.com/goods.html?goods_id=601104337468783</v>
      </c>
    </row>
    <row r="382">
      <c r="A382" t="str">
        <v>TI / Redes</v>
      </c>
      <c r="B382" t="str">
        <v>ethernet cable</v>
      </c>
      <c r="C382" t="str">
        <v>601101272626719</v>
      </c>
      <c r="D382" t="str">
        <v>Category 8 Braided Ethernet Cable, Flat Braided, High Speed 40* 2000MHz Internet Cable with Golden-Plated Connectors</v>
      </c>
      <c r="E382">
        <v>4.64</v>
      </c>
      <c r="F382">
        <v>20.08</v>
      </c>
      <c r="G382">
        <v>76.89</v>
      </c>
      <c r="H382">
        <f>IF(E382="","",ROUND(E382*Resumen!$B$3,2))</f>
      </c>
      <c r="I382">
        <v>4.6</v>
      </c>
      <c r="J382">
        <v>113</v>
      </c>
      <c r="K382">
        <v>795</v>
      </c>
      <c r="L382" t="str">
        <v>795 sold</v>
      </c>
      <c r="M382" t="str">
        <v/>
      </c>
      <c r="N382" t="str">
        <v>https://img.kwcdn.com/product/open/3c415070cf0143b5af66e5ddbe082669-goods.jpeg</v>
      </c>
      <c r="O382" t="str">
        <v>https://www.temu.com/goods.html?goods_id=601101272626719</v>
      </c>
    </row>
    <row r="383">
      <c r="A383" t="str">
        <v>TI / Redes</v>
      </c>
      <c r="B383" t="str">
        <v>wifi extender</v>
      </c>
      <c r="C383" t="str">
        <v>605940375989600</v>
      </c>
      <c r="D383" t="str">
        <v>2.4G WiFi * Booster - Portable USB-Powered * WiFi Extender for Home and Office, Eliminates Dead Zones, Plug-and-* Wireless Network Amplifier with Vertical Antenna Design</v>
      </c>
      <c r="E383">
        <v>4.47</v>
      </c>
      <c r="F383">
        <v>5.29</v>
      </c>
      <c r="G383">
        <v>15.5</v>
      </c>
      <c r="H383">
        <f>IF(E383="","",ROUND(E383*Resumen!$B$3,2))</f>
      </c>
      <c r="I383">
        <v>4.4</v>
      </c>
      <c r="J383">
        <v>156</v>
      </c>
      <c r="K383">
        <v>776</v>
      </c>
      <c r="L383" t="str">
        <v>776 sold</v>
      </c>
      <c r="M383" t="str">
        <v/>
      </c>
      <c r="N383" t="str">
        <v>https://img.kwcdn.com/product/open/4f52000756bf4669a79f7651ae3b9e41-goods.jpeg</v>
      </c>
      <c r="O383" t="str">
        <v>https://www.temu.com/goods.html?goods_id=605940375989600</v>
      </c>
    </row>
    <row r="384">
      <c r="A384" t="str">
        <v>TI / Redes</v>
      </c>
      <c r="B384" t="str">
        <v>wifi extender</v>
      </c>
      <c r="C384" t="str">
        <v>606531001153653</v>
      </c>
      <c r="D384" t="str">
        <v>WiFi Extender * Booster, Covers Up to 5000 Sq Ft and 52 Devices, WiFi Range Extender, Wireless Internet Repeater, Remote Amplifier with Ethernet Port, * Setup, *, Alexa Compatible (6-Antenna Black Repeater)</v>
      </c>
      <c r="E384">
        <v>16.96</v>
      </c>
      <c r="F384">
        <v>24.24</v>
      </c>
      <c r="G384">
        <v>30.03</v>
      </c>
      <c r="H384">
        <f>IF(E384="","",ROUND(E384*Resumen!$B$3,2))</f>
      </c>
      <c r="I384">
        <v>4.5</v>
      </c>
      <c r="J384">
        <v>98</v>
      </c>
      <c r="K384">
        <v>765</v>
      </c>
      <c r="L384" t="str">
        <v>765 sold</v>
      </c>
      <c r="M384" t="str">
        <v/>
      </c>
      <c r="N384" t="str">
        <v>https://img.kwcdn.com/product/open/9d34fe4076a0411ba14ca4c193baf23e-goods.jpeg</v>
      </c>
      <c r="O384" t="str">
        <v>https://www.temu.com/goods.html?goods_id=606531001153653</v>
      </c>
    </row>
    <row r="385">
      <c r="A385" t="str">
        <v>TI / Redes</v>
      </c>
      <c r="B385" t="str">
        <v>wifi extender</v>
      </c>
      <c r="C385" t="str">
        <v>601099638862122</v>
      </c>
      <c r="D385" t="str">
        <v>WiFi Extender * Booster for Home, Internet Extender WiFi Booster, Long Range Up to 12880 Sq Ft And 105 Devices, Internet Extender WiFi Booster, WiFi Repeater with Ethernet Port, * Booster</v>
      </c>
      <c r="E385">
        <v>29.99</v>
      </c>
      <c r="H385">
        <f>IF(E385="","",ROUND(E385*Resumen!$B$3,2))</f>
      </c>
      <c r="I385">
        <v>4.7</v>
      </c>
      <c r="J385">
        <v>122</v>
      </c>
      <c r="K385">
        <v>728</v>
      </c>
      <c r="L385" t="str">
        <v>728 sold</v>
      </c>
      <c r="M385" t="str">
        <v/>
      </c>
      <c r="N385" t="str">
        <v>https://img.kwcdn.com/product/fancy/a3465b73-eb43-4922-b397-fb33aa1a393c.jpg</v>
      </c>
      <c r="O385" t="str">
        <v>https://www.temu.com/goods.html?goods_id=601099638862122</v>
      </c>
    </row>
    <row r="386">
      <c r="A386" t="str">
        <v>TI / Redes</v>
      </c>
      <c r="B386" t="str">
        <v>ethernet cable</v>
      </c>
      <c r="C386" t="str">
        <v>601103023939824</v>
      </c>
      <c r="D386" t="str">
        <v>* Ethernet Cable 40* 2000MHz * Flat Shielded (RJ45 Connectors) - for * Ethernet Cable Compatible with PS5/PS4, PC, Router, Modem - * (Male-to-Male)</v>
      </c>
      <c r="E386">
        <v>2.84</v>
      </c>
      <c r="F386">
        <v>4.14</v>
      </c>
      <c r="G386">
        <v>31.4</v>
      </c>
      <c r="H386">
        <f>IF(E386="","",ROUND(E386*Resumen!$B$3,2))</f>
      </c>
      <c r="I386">
        <v>4.8</v>
      </c>
      <c r="J386">
        <v>16</v>
      </c>
      <c r="K386">
        <v>698</v>
      </c>
      <c r="L386" t="str">
        <v>698 sold</v>
      </c>
      <c r="M386" t="str">
        <v/>
      </c>
      <c r="N386" t="str">
        <v>https://img.kwcdn.com/product/fancy/c91d5d74-8a09-4622-a062-128e4b82d898.jpg</v>
      </c>
      <c r="O386" t="str">
        <v>https://www.temu.com/goods.html?goods_id=601103023939824</v>
      </c>
    </row>
    <row r="387">
      <c r="A387" t="str">
        <v>TI / Redes</v>
      </c>
      <c r="B387" t="str">
        <v>ethernet cable</v>
      </c>
      <c r="C387" t="str">
        <v>601104338107334</v>
      </c>
      <c r="D387" t="str">
        <v>Cat5e/Cat6/Cat6A Ethernet Cable 10* * Shielded Flat LAN Wire with RJ45 Connectors &amp; Clips - Noisereduction, Compatible with *,,, PC Gaming, Modem, Router, Laptop (PoE-Free, Passive Shielding)</v>
      </c>
      <c r="E387">
        <v>16.52</v>
      </c>
      <c r="F387">
        <v>17.74</v>
      </c>
      <c r="G387">
        <v>6.88</v>
      </c>
      <c r="H387">
        <f>IF(E387="","",ROUND(E387*Resumen!$B$3,2))</f>
      </c>
      <c r="I387">
        <v>4.6</v>
      </c>
      <c r="J387">
        <v>5</v>
      </c>
      <c r="K387">
        <v>660</v>
      </c>
      <c r="L387" t="str">
        <v>660 sold</v>
      </c>
      <c r="M387" t="str">
        <v/>
      </c>
      <c r="N387" t="str">
        <v>https://img.kwcdn.com/product/fancy/8b476ce8-f3df-4163-b084-88248c2d91a1.jpg</v>
      </c>
      <c r="O387" t="str">
        <v>https://www.temu.com/goods.html?goods_id=601104338107334</v>
      </c>
    </row>
    <row r="388">
      <c r="A388" t="str">
        <v>TI / Redes</v>
      </c>
      <c r="B388" t="str">
        <v>wifi extender</v>
      </c>
      <c r="C388" t="str">
        <v>606015605042835</v>
      </c>
      <c r="D388" t="str">
        <v>WiFi Extender * Booster, Covers Up to 5000 Sq Ft and 52 Devices, WiFi Range Extender, Wireless Internet Repeater, Remote Amplifier with Ethernet Port, * Setup, *, Alexa Compatible (6-Antenna Black Repeater)</v>
      </c>
      <c r="E388">
        <v>24.24</v>
      </c>
      <c r="H388">
        <f>IF(E388="","",ROUND(E388*Resumen!$B$3,2))</f>
      </c>
      <c r="I388">
        <v>4.8</v>
      </c>
      <c r="J388">
        <v>81</v>
      </c>
      <c r="K388">
        <v>618</v>
      </c>
      <c r="L388" t="str">
        <v>618 sold</v>
      </c>
      <c r="M388" t="str">
        <v/>
      </c>
      <c r="N388" t="str">
        <v>https://img.kwcdn.com/product/fancy/6678df45-ed39-4f86-9733-3e4928339be6.jpg</v>
      </c>
      <c r="O388" t="str">
        <v>https://www.temu.com/goods.html?goods_id=606015605042835</v>
      </c>
    </row>
    <row r="389">
      <c r="A389" t="str">
        <v>TI / Redes</v>
      </c>
      <c r="B389" t="str">
        <v>ethernet cable</v>
      </c>
      <c r="C389" t="str">
        <v>606213173546232</v>
      </c>
      <c r="D389" t="str">
        <v>Cat 8 Ethernet Cable, * Braided 40* 2000Mhz Network Cord, * RJ45 Shielded Indoor Heavy Duty LAN Cables Compatible with Gaming PC, PS5, *, And Modem</v>
      </c>
      <c r="E389">
        <v>3.74</v>
      </c>
      <c r="F389">
        <v>7.85</v>
      </c>
      <c r="G389">
        <v>52.36</v>
      </c>
      <c r="H389">
        <f>IF(E389="","",ROUND(E389*Resumen!$B$3,2))</f>
      </c>
      <c r="I389">
        <v>4.9</v>
      </c>
      <c r="J389">
        <v>18</v>
      </c>
      <c r="K389">
        <v>609</v>
      </c>
      <c r="L389" t="str">
        <v>609 sold</v>
      </c>
      <c r="M389" t="str">
        <v/>
      </c>
      <c r="N389" t="str">
        <v>https://img.kwcdn.com/product/fancy/ca7f7019-39cb-40ec-848c-9aadc4a93ed2.jpg</v>
      </c>
      <c r="O389" t="str">
        <v>https://www.temu.com/goods.html?goods_id=606213173546232</v>
      </c>
    </row>
    <row r="390">
      <c r="A390" t="str">
        <v>TI / Redes</v>
      </c>
      <c r="B390" t="str">
        <v>ethernet cable</v>
      </c>
      <c r="C390" t="str">
        <v>605765339284441</v>
      </c>
      <c r="D390" t="str">
        <v>Cat6 Ethernet Cable 5-Pack, 1* Gigabit RJ45 Network Patch Cord, Cat6/Cat6* Cable for Internet, Router, Modem, Switch, PS5, *, Computer - * (*/Yellow/Gray/Blue)</v>
      </c>
      <c r="E390">
        <v>5.68</v>
      </c>
      <c r="F390">
        <v>30.15</v>
      </c>
      <c r="G390">
        <v>81.16</v>
      </c>
      <c r="H390">
        <f>IF(E390="","",ROUND(E390*Resumen!$B$3,2))</f>
      </c>
      <c r="I390">
        <v>4</v>
      </c>
      <c r="J390">
        <v>1</v>
      </c>
      <c r="K390">
        <v>600</v>
      </c>
      <c r="L390" t="str">
        <v>600 sold</v>
      </c>
      <c r="M390" t="str">
        <v/>
      </c>
      <c r="N390" t="str">
        <v>https://img.kwcdn.com/product/fancy/4f717ed4-6958-4e00-982f-b51ea5f158d6.jpg</v>
      </c>
      <c r="O390" t="str">
        <v>https://www.temu.com/goods.html?goods_id=605765339284441</v>
      </c>
    </row>
    <row r="391">
      <c r="A391" t="str">
        <v>TI / Redes</v>
      </c>
      <c r="B391" t="str">
        <v>ethernet cable</v>
      </c>
      <c r="C391" t="str">
        <v>601101213296160</v>
      </c>
      <c r="D391" t="str">
        <v>3937.01inch/3149.61inch/2362.2inch Long Length Cat6 Network Cable Ethernet Cable with Plated RJ45 Connector, Long Internet Cables * Patch Cord 1* for 250Mhz/s UTP for Console, PS3, PS4, PS5, Switch, Router, Modem, Patch Panel, PC, TV</v>
      </c>
      <c r="E391">
        <v>18.5</v>
      </c>
      <c r="F391">
        <v>61.81</v>
      </c>
      <c r="G391">
        <v>70.07</v>
      </c>
      <c r="H391">
        <f>IF(E391="","",ROUND(E391*Resumen!$B$3,2))</f>
      </c>
      <c r="K391">
        <v>556</v>
      </c>
      <c r="L391" t="str">
        <v>556 sold</v>
      </c>
      <c r="M391" t="str">
        <v/>
      </c>
      <c r="N391" t="str">
        <v>https://img.kwcdn.com/product/fancy/dc3068a5-811f-4605-b1fd-bf13d51df1c9.jpg</v>
      </c>
      <c r="O391" t="str">
        <v>https://www.temu.com/goods.html?goods_id=601101213296160</v>
      </c>
    </row>
    <row r="392">
      <c r="A392" t="str">
        <v>TI / Redes</v>
      </c>
      <c r="B392" t="str">
        <v>wifi extender</v>
      </c>
      <c r="C392" t="str">
        <v>601099570282408</v>
      </c>
      <c r="D392" t="str">
        <v>1200Mbps WiFi Extender, * WiFi * On Dual Bands (2.4GHz/5GHz) for Up to 10000 * Coverage. 6X Stronger *, Penetrates *. Supports 35 Devices, 4 *. * Setup. 4 * for 360° Coverage</v>
      </c>
      <c r="E392">
        <v>24.13</v>
      </c>
      <c r="F392">
        <v>54.99</v>
      </c>
      <c r="G392">
        <v>56.12</v>
      </c>
      <c r="H392">
        <f>IF(E392="","",ROUND(E392*Resumen!$B$3,2))</f>
      </c>
      <c r="I392">
        <v>4.5</v>
      </c>
      <c r="J392">
        <v>79</v>
      </c>
      <c r="K392">
        <v>513</v>
      </c>
      <c r="L392" t="str">
        <v>513 sold</v>
      </c>
      <c r="M392" t="str">
        <v/>
      </c>
      <c r="N392" t="str">
        <v>https://img.kwcdn.com/product/fancy/f1f006d8-a873-4651-8264-e313ff519f9c.jpg</v>
      </c>
      <c r="O392" t="str">
        <v>https://www.temu.com/goods.html?goods_id=601099570282408</v>
      </c>
    </row>
    <row r="393">
      <c r="A393" t="str">
        <v>TI / Redes</v>
      </c>
      <c r="B393" t="str">
        <v>ethernet cable</v>
      </c>
      <c r="C393" t="str">
        <v>601100684496265</v>
      </c>
      <c r="D393" t="str">
        <v>Cat 8 Ethernet Cable, 40* 2000MHz, Ultra-high Speed Nylon Braided Cable, Heavy * Internet Cable, Indoor And Outdoor Wall Shielding Professional LAN Cable</v>
      </c>
      <c r="E393">
        <v>6.19</v>
      </c>
      <c r="F393">
        <v>42.78</v>
      </c>
      <c r="G393">
        <v>85.53</v>
      </c>
      <c r="H393">
        <f>IF(E393="","",ROUND(E393*Resumen!$B$3,2))</f>
      </c>
      <c r="I393">
        <v>4.9</v>
      </c>
      <c r="J393">
        <v>72</v>
      </c>
      <c r="K393">
        <v>460</v>
      </c>
      <c r="L393" t="str">
        <v>460 sold</v>
      </c>
      <c r="M393" t="str">
        <v/>
      </c>
      <c r="N393" t="str">
        <v>https://img.kwcdn.com/product/fancy/0a3444e7-5ca9-4a6c-8fef-1258a36299c8.jpg</v>
      </c>
      <c r="O393" t="str">
        <v>https://www.temu.com/goods.html?goods_id=601100684496265</v>
      </c>
    </row>
    <row r="394">
      <c r="A394" t="str">
        <v>TI / Redes</v>
      </c>
      <c r="B394" t="str">
        <v>wifi extender</v>
      </c>
      <c r="C394" t="str">
        <v>607109445966479</v>
      </c>
      <c r="D394" t="str">
        <v>Wifi 6 Range Extender, Dual Band 2.4Ghz &amp; 5Ghz Wifi Booster, 6 High-* *, Dual Gigabit Ethernet Ports, WPS, AP &amp; Repeater *, US Plug</v>
      </c>
      <c r="E394">
        <v>11.57</v>
      </c>
      <c r="F394">
        <v>12.59</v>
      </c>
      <c r="G394">
        <v>8.1</v>
      </c>
      <c r="H394">
        <f>IF(E394="","",ROUND(E394*Resumen!$B$3,2))</f>
      </c>
      <c r="I394">
        <v>4.7</v>
      </c>
      <c r="J394">
        <v>19</v>
      </c>
      <c r="K394">
        <v>451</v>
      </c>
      <c r="L394" t="str">
        <v>451 sold</v>
      </c>
      <c r="M394" t="str">
        <v/>
      </c>
      <c r="N394" t="str">
        <v>https://img.kwcdn.com/product/fancy/1969c0ac-2f6d-4fc0-910e-2488c5988f58.jpg</v>
      </c>
      <c r="O394" t="str">
        <v>https://www.temu.com/goods.html?goods_id=607109445966479</v>
      </c>
    </row>
    <row r="395">
      <c r="A395" t="str">
        <v>TI / Redes</v>
      </c>
      <c r="B395" t="str">
        <v>ethernet cable</v>
      </c>
      <c r="C395" t="str">
        <v>605500661939002</v>
      </c>
      <c r="D395" t="str">
        <v>Black CAT6 Ethernet Cable 10* Gigabit RJ45 Patch Cord, UTP Unshielded Cat6/Cat6* Network Cable with Gold Plated Plug, High Speed Internet Wire for Gaming PC, Modem, Router, Switch, Home Office &amp; Server Cabinet Wiring</v>
      </c>
      <c r="E395">
        <v>3.09</v>
      </c>
      <c r="F395">
        <v>9.91</v>
      </c>
      <c r="G395">
        <v>68.82</v>
      </c>
      <c r="H395">
        <f>IF(E395="","",ROUND(E395*Resumen!$B$3,2))</f>
      </c>
      <c r="I395">
        <v>4.7</v>
      </c>
      <c r="J395">
        <v>6</v>
      </c>
      <c r="K395">
        <v>418</v>
      </c>
      <c r="L395" t="str">
        <v>418 sold</v>
      </c>
      <c r="M395" t="str">
        <v/>
      </c>
      <c r="N395" t="str">
        <v>https://img.kwcdn.com/product/fancy/960a5bfb-61a3-4ca8-acc4-5d724b1892a6.jpg</v>
      </c>
      <c r="O395" t="str">
        <v>https://www.temu.com/goods.html?goods_id=605500661939002</v>
      </c>
    </row>
    <row r="396">
      <c r="A396" t="str">
        <v>TI / Redes</v>
      </c>
      <c r="B396" t="str">
        <v>ethernet cable</v>
      </c>
      <c r="C396" t="str">
        <v>601101849860298</v>
      </c>
      <c r="D396" t="str">
        <v>Nylon *, * Ethernet Cable, 40* 2000Mhz * Braided Internet Cable Network Cord with Gold Plated RJ45 Connector Heavy Duty LAN Cable Shielded Indoor, 3FT-100FT</v>
      </c>
      <c r="E396">
        <v>14.78</v>
      </c>
      <c r="F396">
        <v>23.99</v>
      </c>
      <c r="G396">
        <v>38.39</v>
      </c>
      <c r="H396">
        <f>IF(E396="","",ROUND(E396*Resumen!$B$3,2))</f>
      </c>
      <c r="I396">
        <v>4.8</v>
      </c>
      <c r="J396">
        <v>53</v>
      </c>
      <c r="K396">
        <v>406</v>
      </c>
      <c r="L396" t="str">
        <v>406 sold</v>
      </c>
      <c r="M396" t="str">
        <v/>
      </c>
      <c r="N396" t="str">
        <v>https://img.kwcdn.com/product/open/9701cce6cf69418db5ce06fac05eb737-goods.jpeg</v>
      </c>
      <c r="O396" t="str">
        <v>https://www.temu.com/goods.html?goods_id=601101849860298</v>
      </c>
    </row>
    <row r="397">
      <c r="A397" t="str">
        <v>TI / Redes</v>
      </c>
      <c r="B397" t="str">
        <v>ethernet cable</v>
      </c>
      <c r="C397" t="str">
        <v>601105159265853</v>
      </c>
      <c r="D397" t="str">
        <v>Cat6 Flat Internet Cable (4-Pack, 19.69~118.11inch) Short Patch Network Cable, 1*, RJ45, Snagless Design, Gold-Plated Connectors, Ethernet Cable for Indoor And Outdoor Use, Suitable for PC, TV, Tablet, Router, Printer, Servers</v>
      </c>
      <c r="E397">
        <v>7.04</v>
      </c>
      <c r="H397">
        <f>IF(E397="","",ROUND(E397*Resumen!$B$3,2))</f>
      </c>
      <c r="I397">
        <v>5</v>
      </c>
      <c r="J397">
        <v>2</v>
      </c>
      <c r="K397">
        <v>406</v>
      </c>
      <c r="L397" t="str">
        <v>406 sold</v>
      </c>
      <c r="M397" t="str">
        <v/>
      </c>
      <c r="N397" t="str">
        <v>https://img.kwcdn.com/product/fancy/63692de6-3792-402f-9476-af56b4fec36a.jpg</v>
      </c>
      <c r="O397" t="str">
        <v>https://www.temu.com/goods.html?goods_id=601105159265853</v>
      </c>
    </row>
    <row r="398">
      <c r="A398" t="str">
        <v>TI / Redes</v>
      </c>
      <c r="B398" t="str">
        <v>ethernet cable</v>
      </c>
      <c r="C398" t="str">
        <v>605939486790192</v>
      </c>
      <c r="D398" t="str">
        <v>* * Cat 8 Ethernet Cable 3 Feet, Flat * 40* 2000Mhz Internet Cable 26AWG Braided RJ45 Shielded Indoor LAN Cable Compatible with Gaming PC, PS5, *, Modem, Router 3FT</v>
      </c>
      <c r="E398">
        <v>6.09</v>
      </c>
      <c r="F398">
        <v>48.88</v>
      </c>
      <c r="G398">
        <v>87.54</v>
      </c>
      <c r="H398">
        <f>IF(E398="","",ROUND(E398*Resumen!$B$3,2))</f>
      </c>
      <c r="I398">
        <v>3</v>
      </c>
      <c r="J398">
        <v>1</v>
      </c>
      <c r="K398">
        <v>379</v>
      </c>
      <c r="L398" t="str">
        <v>379 sold</v>
      </c>
      <c r="M398" t="str">
        <v/>
      </c>
      <c r="N398" t="str">
        <v>https://img.kwcdn.com/product/fancy/2f4f7a36-b66d-47fc-8913-87784d4afbb9.jpg</v>
      </c>
      <c r="O398" t="str">
        <v>https://www.temu.com/goods.html?goods_id=605939486790192</v>
      </c>
    </row>
    <row r="399">
      <c r="A399" t="str">
        <v>TI / Redes</v>
      </c>
      <c r="B399" t="str">
        <v>ethernet cable</v>
      </c>
      <c r="C399" t="str">
        <v>601101850896160</v>
      </c>
      <c r="D399" t="str">
        <v>40* * Ethernet Cable, Heavy Duty Shielded RJ45 Internet Cable with PCIe Connector, * 2000Mbps for Gaming, Streaming, Home/Office, Fast Data Transfer (3FT-100ft Lengths), Compatible with routers, switches, PCs, NAS - *</v>
      </c>
      <c r="E399">
        <v>2.65</v>
      </c>
      <c r="F399">
        <v>28.22</v>
      </c>
      <c r="G399">
        <v>90.61</v>
      </c>
      <c r="H399">
        <f>IF(E399="","",ROUND(E399*Resumen!$B$3,2))</f>
      </c>
      <c r="I399">
        <v>4.8</v>
      </c>
      <c r="J399">
        <v>37</v>
      </c>
      <c r="K399">
        <v>344</v>
      </c>
      <c r="L399" t="str">
        <v>344 sold</v>
      </c>
      <c r="M399" t="str">
        <v/>
      </c>
      <c r="N399" t="str">
        <v>https://img.kwcdn.com/product/open/63e50fd8544c41e282e05e8794241ce1-goods.jpeg</v>
      </c>
      <c r="O399" t="str">
        <v>https://www.temu.com/goods.html?goods_id=601101850896160</v>
      </c>
    </row>
    <row r="400">
      <c r="A400" t="str">
        <v>TI / Redes</v>
      </c>
      <c r="B400" t="str">
        <v>ethernet cable</v>
      </c>
      <c r="C400" t="str">
        <v>601100679577079</v>
      </c>
      <c r="D400" t="str">
        <v>CAT6 Ethernet Cable, 10*/1000Hz Support, Flat RJ45 Internet LAN Computer Patch Cable For Router, Modem, Switch, Gaming Consoles, Streaming Devices, 3ft-100ft, *</v>
      </c>
      <c r="E400">
        <v>2.39</v>
      </c>
      <c r="F400">
        <v>26</v>
      </c>
      <c r="G400">
        <v>90.81</v>
      </c>
      <c r="H400">
        <f>IF(E400="","",ROUND(E400*Resumen!$B$3,2))</f>
      </c>
      <c r="I400">
        <v>4.9</v>
      </c>
      <c r="J400">
        <v>32</v>
      </c>
      <c r="K400">
        <v>328</v>
      </c>
      <c r="L400" t="str">
        <v>328 sold</v>
      </c>
      <c r="M400" t="str">
        <v/>
      </c>
      <c r="N400" t="str">
        <v>https://img.kwcdn.com/product/open/fc78072f45e24cd5b757829b08a3473f-goods.jpeg</v>
      </c>
      <c r="O400" t="str">
        <v>https://www.temu.com/goods.html?goods_id=601100679577079</v>
      </c>
    </row>
    <row r="401">
      <c r="A401" t="str">
        <v>TI / Redes</v>
      </c>
      <c r="B401" t="str">
        <v>ethernet cable</v>
      </c>
      <c r="C401" t="str">
        <v>606259747082846</v>
      </c>
      <c r="D401" t="str">
        <v>Cat6 Ethernet Cable Designed for * Internet, Supporting 1 Gigabit with Cat6E, Cat6, And Cat5E Systems. This Long And Flexible RJ45 Patch Cord Is Suitable for Data *, Server Rooms, Gaming, Homes, And Offices, in *</v>
      </c>
      <c r="E401">
        <v>3.7</v>
      </c>
      <c r="F401">
        <v>12.99</v>
      </c>
      <c r="G401">
        <v>71.52</v>
      </c>
      <c r="H401">
        <f>IF(E401="","",ROUND(E401*Resumen!$B$3,2))</f>
      </c>
      <c r="I401">
        <v>5</v>
      </c>
      <c r="J401">
        <v>2</v>
      </c>
      <c r="K401">
        <v>317</v>
      </c>
      <c r="L401" t="str">
        <v>317 sold</v>
      </c>
      <c r="M401" t="str">
        <v/>
      </c>
      <c r="N401" t="str">
        <v>https://img.kwcdn.com/product/fancy/c5bb875a-2cb7-455c-8745-7556a8887491.jpg</v>
      </c>
      <c r="O401" t="str">
        <v>https://www.temu.com/goods.html?goods_id=606259747082846</v>
      </c>
    </row>
    <row r="402">
      <c r="A402" t="str">
        <v>TI / Redes</v>
      </c>
      <c r="B402" t="str">
        <v>wifi extender</v>
      </c>
      <c r="C402" t="str">
        <v>605517707617345</v>
      </c>
      <c r="D402" t="str">
        <v>Wifi 6 * Booster 1800Bps, * with 6 *, Long-Distance Wall Penetrating Wifi Extender, Home And Commercial * Coverage Wireless Range Extender, Suitable for *, Office, Coffee Shops</v>
      </c>
      <c r="E402">
        <v>6.5</v>
      </c>
      <c r="F402">
        <v>26.99</v>
      </c>
      <c r="G402">
        <v>75.92</v>
      </c>
      <c r="H402">
        <f>IF(E402="","",ROUND(E402*Resumen!$B$3,2))</f>
      </c>
      <c r="I402">
        <v>4.5</v>
      </c>
      <c r="J402">
        <v>30</v>
      </c>
      <c r="K402">
        <v>311</v>
      </c>
      <c r="L402" t="str">
        <v>311 sold</v>
      </c>
      <c r="M402" t="str">
        <v/>
      </c>
      <c r="N402" t="str">
        <v>https://img.kwcdn.com/product/open/72b2dbcfb860427280f42a316e1c1427-goods.jpeg</v>
      </c>
      <c r="O402" t="str">
        <v>https://www.temu.com/goods.html?goods_id=605517707617345</v>
      </c>
    </row>
    <row r="403">
      <c r="A403" t="str">
        <v>TI / Redes</v>
      </c>
      <c r="B403" t="str">
        <v>ethernet cable</v>
      </c>
      <c r="C403" t="str">
        <v>601101977600093</v>
      </c>
      <c r="D403" t="str">
        <v>100Ft Cat6 Ethernet Cable for Internet, Suitable for * Indoor And Outdoor Use, Supports * Connections Up to 10*, Flat Design, * Snagless RJ45 Connectors, * in Black And White</v>
      </c>
      <c r="E403">
        <v>1.93</v>
      </c>
      <c r="F403">
        <v>21.91</v>
      </c>
      <c r="G403">
        <v>91.19</v>
      </c>
      <c r="H403">
        <f>IF(E403="","",ROUND(E403*Resumen!$B$3,2))</f>
      </c>
      <c r="I403">
        <v>4.2</v>
      </c>
      <c r="J403">
        <v>33</v>
      </c>
      <c r="K403">
        <v>303</v>
      </c>
      <c r="L403" t="str">
        <v>303 sold</v>
      </c>
      <c r="M403" t="str">
        <v/>
      </c>
      <c r="N403" t="str">
        <v>https://img.kwcdn.com/product/open/644120e817e9446ba7db3820f7b19879-goods.jpeg</v>
      </c>
      <c r="O403" t="str">
        <v>https://www.temu.com/goods.html?goods_id=601101977600093</v>
      </c>
    </row>
    <row r="404">
      <c r="A404" t="str">
        <v>TI / Redes</v>
      </c>
      <c r="B404" t="str">
        <v>wifi extender</v>
      </c>
      <c r="C404" t="str">
        <v>605792266765498</v>
      </c>
      <c r="D404" t="str">
        <v>WiFi Extender High-Quality Wireless Internet WiFi RepeaterRouterAP * Booster Covers Up to 10000 * Anti-Interference WiFi Extender Practical Internet Extender Ideal Christmas Gift</v>
      </c>
      <c r="E404">
        <v>10.62</v>
      </c>
      <c r="F404">
        <v>24.73</v>
      </c>
      <c r="G404">
        <v>57.06</v>
      </c>
      <c r="H404">
        <f>IF(E404="","",ROUND(E404*Resumen!$B$3,2))</f>
      </c>
      <c r="I404">
        <v>4.6</v>
      </c>
      <c r="J404">
        <v>27</v>
      </c>
      <c r="K404">
        <v>285</v>
      </c>
      <c r="L404" t="str">
        <v>285 sold</v>
      </c>
      <c r="M404" t="str">
        <v/>
      </c>
      <c r="N404" t="str">
        <v>https://img.kwcdn.com/product/fancy/1338e2db-6bc4-4031-8698-0b6f65659a9e.jpg</v>
      </c>
      <c r="O404" t="str">
        <v>https://www.temu.com/goods.html?goods_id=605792266765498</v>
      </c>
    </row>
    <row r="405">
      <c r="A405" t="str">
        <v>TI / Redes</v>
      </c>
      <c r="B405" t="str">
        <v>wifi extender</v>
      </c>
      <c r="C405" t="str">
        <v>605902375623393</v>
      </c>
      <c r="D405" t="str">
        <v>1500Mbps WiFi Extender High Quality Wireless Internet WiFi Repeater Router AP * Booster Covers Up to 10000 * Anti * WiFi Extender Practical Internet Extender Ideal Christmas Gift</v>
      </c>
      <c r="E405">
        <v>13.17</v>
      </c>
      <c r="F405">
        <v>47.29</v>
      </c>
      <c r="G405">
        <v>72.15</v>
      </c>
      <c r="H405">
        <f>IF(E405="","",ROUND(E405*Resumen!$B$3,2))</f>
      </c>
      <c r="I405">
        <v>4.7</v>
      </c>
      <c r="J405">
        <v>39</v>
      </c>
      <c r="K405">
        <v>273</v>
      </c>
      <c r="L405" t="str">
        <v>273 sold</v>
      </c>
      <c r="M405" t="str">
        <v/>
      </c>
      <c r="N405" t="str">
        <v>https://img.kwcdn.com/product/open/b98c0b982bcc441ebe91436163a1557e-goods.jpeg</v>
      </c>
      <c r="O405" t="str">
        <v>https://www.temu.com/goods.html?goods_id=605902375623393</v>
      </c>
    </row>
    <row r="406">
      <c r="A406" t="str">
        <v>TI / Redes</v>
      </c>
      <c r="B406" t="str">
        <v>wifi extender</v>
      </c>
      <c r="C406" t="str">
        <v>601100358662417</v>
      </c>
      <c r="D406" t="str">
        <v>* WiFi6 *, Dual Band 2.4G+5G * Long Range * Extender with PoE/6x7dBi High-* */* Booster Amplifier</v>
      </c>
      <c r="E406">
        <v>124.86</v>
      </c>
      <c r="F406">
        <v>477.57</v>
      </c>
      <c r="G406">
        <v>73.86</v>
      </c>
      <c r="H406">
        <f>IF(E406="","",ROUND(E406*Resumen!$B$3,2))</f>
      </c>
      <c r="I406">
        <v>5</v>
      </c>
      <c r="J406">
        <v>23</v>
      </c>
      <c r="K406">
        <v>267</v>
      </c>
      <c r="L406" t="str">
        <v>267 sold</v>
      </c>
      <c r="M406" t="str">
        <v/>
      </c>
      <c r="N406" t="str">
        <v>https://img.kwcdn.com/product/fancy/a1acd2f7-e9b2-43fa-9871-5adc6d05ca9c.jpg</v>
      </c>
      <c r="O406" t="str">
        <v>https://www.temu.com/goods.html?goods_id=601100358662417</v>
      </c>
    </row>
    <row r="407">
      <c r="A407" t="str">
        <v>TI / Redes</v>
      </c>
      <c r="B407" t="str">
        <v>ethernet cable</v>
      </c>
      <c r="C407" t="str">
        <v>605673131746343</v>
      </c>
      <c r="D407" t="str">
        <v>*8 Ethernet Cable with Black And Gray Gradient Woven Design, Male RJ45 to Male RJ45 Cable, T568B Wiring *, 40* Max, Support POE for Router Switcher Modem</v>
      </c>
      <c r="E407">
        <v>2.71</v>
      </c>
      <c r="F407">
        <v>23.88</v>
      </c>
      <c r="G407">
        <v>88.65</v>
      </c>
      <c r="H407">
        <f>IF(E407="","",ROUND(E407*Resumen!$B$3,2))</f>
      </c>
      <c r="I407">
        <v>5</v>
      </c>
      <c r="J407">
        <v>3</v>
      </c>
      <c r="K407">
        <v>261</v>
      </c>
      <c r="L407" t="str">
        <v>261 sold</v>
      </c>
      <c r="M407" t="str">
        <v/>
      </c>
      <c r="N407" t="str">
        <v>https://img.kwcdn.com/product/open/b4c0db795f004633a80aaff491951cff-goods.jpeg</v>
      </c>
      <c r="O407" t="str">
        <v>https://www.temu.com/goods.html?goods_id=605673131746343</v>
      </c>
    </row>
    <row r="408">
      <c r="A408" t="str">
        <v>TI / Redes</v>
      </c>
      <c r="B408" t="str">
        <v>ethernet cable</v>
      </c>
      <c r="C408" t="str">
        <v>601101977314359</v>
      </c>
      <c r="D408" t="str">
        <v>100ft, Cat6 Ethernet Cable Internet Cable, Cat6 Ethernet Patch Cable Short, Cat6 Computer Cable with Snagless RJ45 Connectors, Indoor&amp;Outdoor, High Speed 10* Flat Internet Network Cable, *</v>
      </c>
      <c r="E408">
        <v>2.05</v>
      </c>
      <c r="F408">
        <v>6.81</v>
      </c>
      <c r="G408">
        <v>69.9</v>
      </c>
      <c r="H408">
        <f>IF(E408="","",ROUND(E408*Resumen!$B$3,2))</f>
      </c>
      <c r="I408">
        <v>4.5</v>
      </c>
      <c r="J408">
        <v>37</v>
      </c>
      <c r="K408">
        <v>255</v>
      </c>
      <c r="L408" t="str">
        <v>255 sold</v>
      </c>
      <c r="M408" t="str">
        <v/>
      </c>
      <c r="N408" t="str">
        <v>https://img.kwcdn.com/product/open/a56706e644c5423c9dbb596ae6473d07-goods.jpeg</v>
      </c>
      <c r="O408" t="str">
        <v>https://www.temu.com/goods.html?goods_id=601101977314359</v>
      </c>
    </row>
    <row r="409">
      <c r="A409" t="str">
        <v>TI / Redes</v>
      </c>
      <c r="B409" t="str">
        <v>wifi extender</v>
      </c>
      <c r="C409" t="str">
        <v>607625311791298</v>
      </c>
      <c r="D409" t="str">
        <v>2 Pack WiFi Extender * Booster, Powerful 6-Antenna Range Repeater for Bigger Home Coverage, * Connect Phones, Tablets, Cameras, TVs, Laptops &amp; More Devices</v>
      </c>
      <c r="E409">
        <v>20.45</v>
      </c>
      <c r="F409">
        <v>44.98</v>
      </c>
      <c r="G409">
        <v>54.54</v>
      </c>
      <c r="H409">
        <f>IF(E409="","",ROUND(E409*Resumen!$B$3,2))</f>
      </c>
      <c r="I409">
        <v>4.9</v>
      </c>
      <c r="J409">
        <v>20</v>
      </c>
      <c r="K409">
        <v>255</v>
      </c>
      <c r="L409" t="str">
        <v>255 sold</v>
      </c>
      <c r="M409" t="str">
        <v/>
      </c>
      <c r="N409" t="str">
        <v>https://img.kwcdn.com/product/open/2c1aca253e53499a86099f17940b0740-goods.jpeg</v>
      </c>
      <c r="O409" t="str">
        <v>https://www.temu.com/goods.html?goods_id=607625311791298</v>
      </c>
    </row>
    <row r="410">
      <c r="A410" t="str">
        <v>TI / Redes</v>
      </c>
      <c r="B410" t="str">
        <v>wifi extender</v>
      </c>
      <c r="C410" t="str">
        <v>605616491837190</v>
      </c>
      <c r="D410" t="str">
        <v>Wifi Extender * Booster, 6-Antenna Dual Band 2.4Ghz/5Ghz Wifi Repeater, 1800Mbps * Internet Amplifier with 360° Coverage, Compatible with Smart TV, Phones, Tablets &amp; Smart *, with Ethernet Port</v>
      </c>
      <c r="E410">
        <v>10.38</v>
      </c>
      <c r="F410">
        <v>16.66</v>
      </c>
      <c r="G410">
        <v>37.7</v>
      </c>
      <c r="H410">
        <f>IF(E410="","",ROUND(E410*Resumen!$B$3,2))</f>
      </c>
      <c r="I410">
        <v>4.6</v>
      </c>
      <c r="J410">
        <v>43</v>
      </c>
      <c r="K410">
        <v>247</v>
      </c>
      <c r="L410" t="str">
        <v>247 sold</v>
      </c>
      <c r="M410" t="str">
        <v/>
      </c>
      <c r="N410" t="str">
        <v>https://img.kwcdn.com/product/open/cf8d072dbdbc4475a39401b6711a1cb7-goods.jpeg</v>
      </c>
      <c r="O410" t="str">
        <v>https://www.temu.com/goods.html?goods_id=605616491837190</v>
      </c>
    </row>
    <row r="411">
      <c r="A411" t="str">
        <v>TI / Redes</v>
      </c>
      <c r="B411" t="str">
        <v>wifi extender</v>
      </c>
      <c r="C411" t="str">
        <v>607370566559629</v>
      </c>
      <c r="D411" t="str">
        <v>6-Antenna Wifi Range Extender, * Wireless * Booster And Repeater with Ethernet Port, Plug-And-Play, Easy to Set Up, Wireless Internet Amplifier with Wide Coverage of Up to 8, 500 *, Suitable for Homes, Offices, Cafes</v>
      </c>
      <c r="E411">
        <v>8.59</v>
      </c>
      <c r="F411">
        <v>39.18</v>
      </c>
      <c r="G411">
        <v>78.08</v>
      </c>
      <c r="H411">
        <f>IF(E411="","",ROUND(E411*Resumen!$B$3,2))</f>
      </c>
      <c r="I411">
        <v>4.7</v>
      </c>
      <c r="J411">
        <v>33</v>
      </c>
      <c r="K411">
        <v>247</v>
      </c>
      <c r="L411" t="str">
        <v>247 sold</v>
      </c>
      <c r="M411" t="str">
        <v/>
      </c>
      <c r="N411" t="str">
        <v>https://img.kwcdn.com/product/fancy/3e7d0d35-ec68-4f0e-b2f4-f051ac0fc0f3.jpg</v>
      </c>
      <c r="O411" t="str">
        <v>https://www.temu.com/goods.html?goods_id=607370566559629</v>
      </c>
    </row>
    <row r="412">
      <c r="A412" t="str">
        <v>TI / Redes</v>
      </c>
      <c r="B412" t="str">
        <v>ethernet cable</v>
      </c>
      <c r="C412" t="str">
        <v>601100689343799</v>
      </c>
      <c r="D412" t="str">
        <v>Cat 6 Ethernet Cable, *, High Speed 10*, Internet Cable Network Cable, Cat6 Ethernet Patch Cable Long, Computer LAN Cable with Free Clips &amp; Straps for Router, Modem, PS4/5</v>
      </c>
      <c r="E412">
        <v>5.43</v>
      </c>
      <c r="F412">
        <v>8.87</v>
      </c>
      <c r="G412">
        <v>38.78</v>
      </c>
      <c r="H412">
        <f>IF(E412="","",ROUND(E412*Resumen!$B$3,2))</f>
      </c>
      <c r="I412">
        <v>4.6</v>
      </c>
      <c r="J412">
        <v>23</v>
      </c>
      <c r="K412">
        <v>244</v>
      </c>
      <c r="L412" t="str">
        <v>244 sold</v>
      </c>
      <c r="M412" t="str">
        <v/>
      </c>
      <c r="N412" t="str">
        <v>https://img.kwcdn.com/product/open/234ad472a7e74c209e1601db5f978bc0-goods.jpeg</v>
      </c>
      <c r="O412" t="str">
        <v>https://www.temu.com/goods.html?goods_id=601100689343799</v>
      </c>
    </row>
    <row r="413">
      <c r="A413" t="str">
        <v>TI / Redes</v>
      </c>
      <c r="B413" t="str">
        <v>wifi extender</v>
      </c>
      <c r="C413" t="str">
        <v>601102747166978</v>
      </c>
      <c r="D413" t="str">
        <v>Solar Panel Repeater, Outdoor Dual Band Wifi * Extender/Amplifier, Suitable for 2.4Ghz Routers, Wifi Repeaters, 300Mbps, Coverage * Up to 490 Feet/150M, 15W/5V Solar Panel, 20000Mah Battery</v>
      </c>
      <c r="E413">
        <v>85.49</v>
      </c>
      <c r="F413">
        <v>259.99</v>
      </c>
      <c r="G413">
        <v>67.12</v>
      </c>
      <c r="H413">
        <f>IF(E413="","",ROUND(E413*Resumen!$B$3,2))</f>
      </c>
      <c r="I413">
        <v>4.4</v>
      </c>
      <c r="J413">
        <v>30</v>
      </c>
      <c r="K413">
        <v>239</v>
      </c>
      <c r="L413" t="str">
        <v>239 sold</v>
      </c>
      <c r="M413" t="str">
        <v/>
      </c>
      <c r="N413" t="str">
        <v>https://img.kwcdn.com/product/fancy/bd486957-ae94-4deb-9316-9353434b6e1e.jpg</v>
      </c>
      <c r="O413" t="str">
        <v>https://www.temu.com/goods.html?goods_id=601102747166978</v>
      </c>
    </row>
    <row r="414">
      <c r="A414" t="str">
        <v>TI / Redes</v>
      </c>
      <c r="B414" t="str">
        <v>ethernet cable</v>
      </c>
      <c r="C414" t="str">
        <v>601100387925411</v>
      </c>
      <c r="D414" t="str">
        <v>100 FT Cat 8 Ethernet Cable, 40* 2000Mhz * Flat Patch Cord Featuring Gold-Plated RJ45 Connectors, Suitable for LAN Network Internet Use, * with 40 Clips for Router, Gaming, And Computer, S/FTP</v>
      </c>
      <c r="E414">
        <v>4.43</v>
      </c>
      <c r="F414">
        <v>22.91</v>
      </c>
      <c r="G414">
        <v>80.66</v>
      </c>
      <c r="H414">
        <f>IF(E414="","",ROUND(E414*Resumen!$B$3,2))</f>
      </c>
      <c r="I414">
        <v>5</v>
      </c>
      <c r="J414">
        <v>25</v>
      </c>
      <c r="K414">
        <v>232</v>
      </c>
      <c r="L414" t="str">
        <v>232 sold</v>
      </c>
      <c r="M414" t="str">
        <v/>
      </c>
      <c r="N414" t="str">
        <v>https://img.kwcdn.com/product/open/b5bf05f4559249f18f26a97c7702e302-goods.jpeg</v>
      </c>
      <c r="O414" t="str">
        <v>https://www.temu.com/goods.html?goods_id=601100387925411</v>
      </c>
    </row>
    <row r="415">
      <c r="A415" t="str">
        <v>TI / Redes</v>
      </c>
      <c r="B415" t="str">
        <v>ethernet cable</v>
      </c>
      <c r="C415" t="str">
        <v>601101646756864</v>
      </c>
      <c r="D415" t="str">
        <v>Cat6 Ethernet Cable, 10/*/75/100Ft *, RJ45 10*/1000Hz, Cat6 *, Internet LAN Computer Patch for Router, Modem, Switch, Gaming Consoles, Streaming Devices, *</v>
      </c>
      <c r="E415">
        <v>2.3</v>
      </c>
      <c r="F415">
        <v>6.81</v>
      </c>
      <c r="G415">
        <v>66.23</v>
      </c>
      <c r="H415">
        <f>IF(E415="","",ROUND(E415*Resumen!$B$3,2))</f>
      </c>
      <c r="I415">
        <v>4.9</v>
      </c>
      <c r="J415">
        <v>27</v>
      </c>
      <c r="K415">
        <v>228</v>
      </c>
      <c r="L415" t="str">
        <v>228 sold</v>
      </c>
      <c r="M415" t="str">
        <v/>
      </c>
      <c r="N415" t="str">
        <v>https://img.kwcdn.com/product/open/df052757dbc84cf287ae349d3f0c6d1b-goods.jpeg</v>
      </c>
      <c r="O415" t="str">
        <v>https://www.temu.com/goods.html?goods_id=601101646756864</v>
      </c>
    </row>
    <row r="416">
      <c r="A416" t="str">
        <v>TI / Redes</v>
      </c>
      <c r="B416" t="str">
        <v>wifi extender</v>
      </c>
      <c r="C416" t="str">
        <v>606056726016034</v>
      </c>
      <c r="D416" t="str">
        <v>1800MbpsHome &amp; Outdoor WiFi Range Extender, 1880 * Coverage Wireless * Booster, WiFi Repeater Amplifier with Ethernet Port, Stable * Booster</v>
      </c>
      <c r="E416">
        <v>6.5</v>
      </c>
      <c r="F416">
        <v>16.99</v>
      </c>
      <c r="G416">
        <v>61.74</v>
      </c>
      <c r="H416">
        <f>IF(E416="","",ROUND(E416*Resumen!$B$3,2))</f>
      </c>
      <c r="I416">
        <v>4.3</v>
      </c>
      <c r="J416">
        <v>22</v>
      </c>
      <c r="K416">
        <v>228</v>
      </c>
      <c r="L416" t="str">
        <v>228 sold</v>
      </c>
      <c r="M416" t="str">
        <v/>
      </c>
      <c r="N416" t="str">
        <v>https://img.kwcdn.com/product/fancy/7d950482-0d68-4aad-8c3b-ef3a12e0395b.jpg</v>
      </c>
      <c r="O416" t="str">
        <v>https://www.temu.com/goods.html?goods_id=606056726016034</v>
      </c>
    </row>
    <row r="417">
      <c r="A417" t="str">
        <v>TI / Redes</v>
      </c>
      <c r="B417" t="str">
        <v>ethernet cable</v>
      </c>
      <c r="C417" t="str">
        <v>601100687890767</v>
      </c>
      <c r="D417" t="str">
        <v>Cat 6 Ethernet Cable 3ft-100ft, *, High Speed 10* Internet/Network Cable, Cat6 Ethernet Patch Cable Long, Computer LAN Cable with Free Clips &amp; Straps for Router, Modem, PS4/5, *</v>
      </c>
      <c r="E417">
        <v>3.7</v>
      </c>
      <c r="F417">
        <v>32.15</v>
      </c>
      <c r="G417">
        <v>88.49</v>
      </c>
      <c r="H417">
        <f>IF(E417="","",ROUND(E417*Resumen!$B$3,2))</f>
      </c>
      <c r="I417">
        <v>4.8</v>
      </c>
      <c r="J417">
        <v>31</v>
      </c>
      <c r="K417">
        <v>225</v>
      </c>
      <c r="L417" t="str">
        <v>225 sold</v>
      </c>
      <c r="M417" t="str">
        <v/>
      </c>
      <c r="N417" t="str">
        <v>https://img.kwcdn.com/product/open/372733808dbf434c8f178174f6c85556-goods.jpeg</v>
      </c>
      <c r="O417" t="str">
        <v>https://www.temu.com/goods.html?goods_id=601100687890767</v>
      </c>
    </row>
    <row r="418">
      <c r="A418" t="str">
        <v>TI / Redes</v>
      </c>
      <c r="B418" t="str">
        <v>ethernet cable</v>
      </c>
      <c r="C418" t="str">
        <v>601100393330635</v>
      </c>
      <c r="D418" t="str">
        <v>Category 8 Flat Ethernet Cable, 40* 2000MHz * * Flat Internet Network Patch Cord, SFTP Shielded LAN Wire with Gold-Plated RJ45 Connector for Outdoor/Indoor Use, with Clips</v>
      </c>
      <c r="E418">
        <v>8.23</v>
      </c>
      <c r="F418">
        <v>42.99</v>
      </c>
      <c r="G418">
        <v>80.86</v>
      </c>
      <c r="H418">
        <f>IF(E418="","",ROUND(E418*Resumen!$B$3,2))</f>
      </c>
      <c r="I418">
        <v>4.8</v>
      </c>
      <c r="J418">
        <v>23</v>
      </c>
      <c r="K418">
        <v>198</v>
      </c>
      <c r="L418" t="str">
        <v>198 sold</v>
      </c>
      <c r="M418" t="str">
        <v/>
      </c>
      <c r="N418" t="str">
        <v>https://img.kwcdn.com/product/fancy/497b6322-da38-44fb-9fe4-f1094d0add74.jpg</v>
      </c>
      <c r="O418" t="str">
        <v>https://www.temu.com/goods.html?goods_id=601100393330635</v>
      </c>
    </row>
    <row r="419">
      <c r="A419" t="str">
        <v>TI / Redes</v>
      </c>
      <c r="B419" t="str">
        <v>wifi extender</v>
      </c>
      <c r="C419" t="str">
        <v>606488974182353</v>
      </c>
      <c r="D419" t="str">
        <v>1800Mbps WiFi 6 Range Extender, Dual Band 2.4G &amp; 5G WiFi Repeater with 6 High-* *, * Booster to Eliminate Dead Zones, * WiFi Amplifier for Home &amp; Outdoor Coverage</v>
      </c>
      <c r="E419">
        <v>19.89</v>
      </c>
      <c r="F419">
        <v>109.99</v>
      </c>
      <c r="G419">
        <v>81.92</v>
      </c>
      <c r="H419">
        <f>IF(E419="","",ROUND(E419*Resumen!$B$3,2))</f>
      </c>
      <c r="I419">
        <v>5</v>
      </c>
      <c r="J419">
        <v>14</v>
      </c>
      <c r="K419">
        <v>197</v>
      </c>
      <c r="L419" t="str">
        <v>197 sold</v>
      </c>
      <c r="M419" t="str">
        <v/>
      </c>
      <c r="N419" t="str">
        <v>https://img.kwcdn.com/product/open/2569205093b147518844776c725e19a1-goods.jpeg</v>
      </c>
      <c r="O419" t="str">
        <v>https://www.temu.com/goods.html?goods_id=606488974182353</v>
      </c>
    </row>
    <row r="420">
      <c r="A420" t="str">
        <v>TI / Redes</v>
      </c>
      <c r="B420" t="str">
        <v>wifi extender</v>
      </c>
      <c r="C420" t="str">
        <v>606218273815855</v>
      </c>
      <c r="D420" t="str">
        <v>Top-Selling WiFi 6 Repeater * Booster | Dual-Band 2.4GHz/5GHz Mesh Network Extender, 6 High-* *, * Setup, Whole-Home Coverage, Compatible with Smart TVs, Game Consoles, Phones, Tablets &amp; Smart *</v>
      </c>
      <c r="E420">
        <v>17.18</v>
      </c>
      <c r="F420">
        <v>109.99</v>
      </c>
      <c r="G420">
        <v>84.38</v>
      </c>
      <c r="H420">
        <f>IF(E420="","",ROUND(E420*Resumen!$B$3,2))</f>
      </c>
      <c r="I420">
        <v>4.9</v>
      </c>
      <c r="J420">
        <v>19</v>
      </c>
      <c r="K420">
        <v>189</v>
      </c>
      <c r="L420" t="str">
        <v>189 sold</v>
      </c>
      <c r="M420" t="str">
        <v/>
      </c>
      <c r="N420" t="str">
        <v>https://img.kwcdn.com/product/fancy/51c20905-cd53-41ab-8099-55f10ccc9cb1.jpg</v>
      </c>
      <c r="O420" t="str">
        <v>https://www.temu.com/goods.html?goods_id=606218273815855</v>
      </c>
    </row>
    <row r="421">
      <c r="A421" t="str">
        <v>TI / Redes</v>
      </c>
      <c r="B421" t="str">
        <v>ethernet cable</v>
      </c>
      <c r="C421" t="str">
        <v>601101810140893</v>
      </c>
      <c r="D421" t="str">
        <v>* Ethernet Cable, Round Design, Supports 40* And 2000Mhz with RJ45 Connector, Durable And * *, Black And White LAN Network Cable</v>
      </c>
      <c r="E421">
        <v>2.33</v>
      </c>
      <c r="F421">
        <v>23.89</v>
      </c>
      <c r="G421">
        <v>90.25</v>
      </c>
      <c r="H421">
        <f>IF(E421="","",ROUND(E421*Resumen!$B$3,2))</f>
      </c>
      <c r="I421">
        <v>4.9</v>
      </c>
      <c r="J421">
        <v>17</v>
      </c>
      <c r="K421">
        <v>183</v>
      </c>
      <c r="L421" t="str">
        <v>183 sold</v>
      </c>
      <c r="M421" t="str">
        <v/>
      </c>
      <c r="N421" t="str">
        <v>https://img.kwcdn.com/product/open/5a8f517e66af4eb59f50a670b41d22c1-goods.jpeg</v>
      </c>
      <c r="O421" t="str">
        <v>https://www.temu.com/goods.html?goods_id=601101810140893</v>
      </c>
    </row>
    <row r="422">
      <c r="A422" t="str">
        <v>TI / Redes</v>
      </c>
      <c r="B422" t="str">
        <v>ethernet cable</v>
      </c>
      <c r="C422" t="str">
        <v>606005320581960</v>
      </c>
      <c r="D422" t="str">
        <v>* Cat5e/Cat6 Ethernet Patch Cable, 6Pack RJ45 Computer Network Cord, High Speed Gigabit LAN Wire for Home Office Gaming Servers, 5 Different Colors for Easy Cable Management</v>
      </c>
      <c r="E422">
        <v>5.63</v>
      </c>
      <c r="F422">
        <v>18.65</v>
      </c>
      <c r="G422">
        <v>69.81</v>
      </c>
      <c r="H422">
        <f>IF(E422="","",ROUND(E422*Resumen!$B$3,2))</f>
      </c>
      <c r="K422">
        <v>183</v>
      </c>
      <c r="L422" t="str">
        <v>183 sold</v>
      </c>
      <c r="M422" t="str">
        <v/>
      </c>
      <c r="N422" t="str">
        <v>https://img.kwcdn.com/product/fancy/b2f100f5-4955-4849-9615-6591324b8215.jpg</v>
      </c>
      <c r="O422" t="str">
        <v>https://www.temu.com/goods.html?goods_id=606005320581960</v>
      </c>
    </row>
    <row r="423">
      <c r="A423" t="str">
        <v>TI / Redes</v>
      </c>
      <c r="B423" t="str">
        <v>wifi extender</v>
      </c>
      <c r="C423" t="str">
        <v>606663239139836</v>
      </c>
      <c r="D423" t="str">
        <v>2-Pack 1800Mbps Wireless Wifi Range Extender, 6-Antenna * Repeater for Multi-Room Coverage, Designed for Bedrooms, Basements, Garages, Apartments, Offices &amp; Daily Internet Use</v>
      </c>
      <c r="E423">
        <v>24.08</v>
      </c>
      <c r="H423">
        <f>IF(E423="","",ROUND(E423*Resumen!$B$3,2))</f>
      </c>
      <c r="I423">
        <v>4.5</v>
      </c>
      <c r="J423">
        <v>15</v>
      </c>
      <c r="K423">
        <v>182</v>
      </c>
      <c r="L423" t="str">
        <v>182 sold</v>
      </c>
      <c r="M423" t="str">
        <v/>
      </c>
      <c r="N423" t="str">
        <v>https://img.kwcdn.com/product/open/cc022a2a730b40b9843c85fe43206878-goods.jpeg</v>
      </c>
      <c r="O423" t="str">
        <v>https://www.temu.com/goods.html?goods_id=606663239139836</v>
      </c>
    </row>
    <row r="424">
      <c r="A424" t="str">
        <v>TI / Redes</v>
      </c>
      <c r="B424" t="str">
        <v>wifi extender</v>
      </c>
      <c r="C424" t="str">
        <v>606461526690606</v>
      </c>
      <c r="D424" t="str">
        <v>Wifi Extender, 2026 Fastest Wifi Booster 1800Mbps Dual Band (5Ghz/2.4Ghz) Wifi Extenders * Booster for Home, Wifi Repeater with Ethernet Port Covers Up to 10000Sq. Ft And 85+ Devices</v>
      </c>
      <c r="E424">
        <v>18.11</v>
      </c>
      <c r="F424">
        <v>19.48</v>
      </c>
      <c r="G424">
        <v>7.03</v>
      </c>
      <c r="H424">
        <f>IF(E424="","",ROUND(E424*Resumen!$B$3,2))</f>
      </c>
      <c r="I424">
        <v>4.8</v>
      </c>
      <c r="J424">
        <v>32</v>
      </c>
      <c r="K424">
        <v>177</v>
      </c>
      <c r="L424" t="str">
        <v>177 sold</v>
      </c>
      <c r="M424" t="str">
        <v/>
      </c>
      <c r="N424" t="str">
        <v>https://img.kwcdn.com/product/open/5e9fc19e01d547db96a1eab5abecc677-goods.jpeg</v>
      </c>
      <c r="O424" t="str">
        <v>https://www.temu.com/goods.html?goods_id=606461526690606</v>
      </c>
    </row>
    <row r="425">
      <c r="A425" t="str">
        <v>TI / Redes</v>
      </c>
      <c r="B425" t="str">
        <v>ethernet cable</v>
      </c>
      <c r="C425" t="str">
        <v>606413745142669</v>
      </c>
      <c r="D425" t="str">
        <v>Cat6 Ethernet Cable, High Speed 1* 500MHz UTP LAN Network Cord, 4 Pair * Solid Wire, Durable PVC Jacket for Indoor/Outdoor Network Installation, RJ45 Patch Cable for Home Office Router, Modem, Gaming, PS5, * - Gray</v>
      </c>
      <c r="E425">
        <v>9.21</v>
      </c>
      <c r="F425">
        <v>69.9</v>
      </c>
      <c r="G425">
        <v>86.82</v>
      </c>
      <c r="H425">
        <f>IF(E425="","",ROUND(E425*Resumen!$B$3,2))</f>
      </c>
      <c r="K425">
        <v>164</v>
      </c>
      <c r="L425" t="str">
        <v>164 sold</v>
      </c>
      <c r="M425" t="str">
        <v/>
      </c>
      <c r="N425" t="str">
        <v>https://img.kwcdn.com/product/fancy/3fb662a1-c570-44e0-b340-02f5ab190512.jpg</v>
      </c>
      <c r="O425" t="str">
        <v>https://www.temu.com/goods.html?goods_id=606413745142669</v>
      </c>
    </row>
    <row r="426">
      <c r="A426" t="str">
        <v>TI / Redes</v>
      </c>
      <c r="B426" t="str">
        <v>ethernet cable</v>
      </c>
      <c r="C426" t="str">
        <v>601101809499176</v>
      </c>
      <c r="D426" t="str">
        <v>Ethernet Cable *, Round Cable, 40* 2000Mhz RJ45 Connector, Heavy Duty Direct High Speed, * LAN Cable Network Cable, 3FT-100FT, *</v>
      </c>
      <c r="E426">
        <v>2.78</v>
      </c>
      <c r="F426">
        <v>20.43</v>
      </c>
      <c r="G426">
        <v>86.39</v>
      </c>
      <c r="H426">
        <f>IF(E426="","",ROUND(E426*Resumen!$B$3,2))</f>
      </c>
      <c r="I426">
        <v>4.7</v>
      </c>
      <c r="J426">
        <v>14</v>
      </c>
      <c r="K426">
        <v>155</v>
      </c>
      <c r="L426" t="str">
        <v>155 sold</v>
      </c>
      <c r="M426" t="str">
        <v/>
      </c>
      <c r="N426" t="str">
        <v>https://img.kwcdn.com/product/open/051df820f300436982cec7b5c298a151-goods.jpeg</v>
      </c>
      <c r="O426" t="str">
        <v>https://www.temu.com/goods.html?goods_id=601101809499176</v>
      </c>
    </row>
    <row r="427">
      <c r="A427" t="str">
        <v>TI / Redes</v>
      </c>
      <c r="B427" t="str">
        <v>ethernet cable</v>
      </c>
      <c r="C427" t="str">
        <v>606150141574095</v>
      </c>
      <c r="D427" t="str">
        <v>Cat6 Flat Ethernet Cable with Gold-Plated RJ45 Connectors(8P8C), High Speed LAN Network Patch Cord for Home, Office, Flexible LAN Network Wire for Router, Modem, Gaming Router, Switch, PC, Streaming Devices, Black</v>
      </c>
      <c r="E427">
        <v>3.87</v>
      </c>
      <c r="F427">
        <v>10.09</v>
      </c>
      <c r="G427">
        <v>61.65</v>
      </c>
      <c r="H427">
        <f>IF(E427="","",ROUND(E427*Resumen!$B$3,2))</f>
      </c>
      <c r="I427">
        <v>5</v>
      </c>
      <c r="J427">
        <v>1</v>
      </c>
      <c r="K427">
        <v>153</v>
      </c>
      <c r="L427" t="str">
        <v>153 sold</v>
      </c>
      <c r="M427" t="str">
        <v/>
      </c>
      <c r="N427" t="str">
        <v>https://img.kwcdn.com/product/fancy/e3a8a8e5-7517-466b-8b3f-4017ae5abd9f.jpg</v>
      </c>
      <c r="O427" t="str">
        <v>https://www.temu.com/goods.html?goods_id=606150141574095</v>
      </c>
    </row>
    <row r="428">
      <c r="A428" t="str">
        <v>TI / Redes</v>
      </c>
      <c r="B428" t="str">
        <v>ethernet cable</v>
      </c>
      <c r="C428" t="str">
        <v>605507456715454</v>
      </c>
      <c r="D428" t="str">
        <v>Cat 8 Ethernet Cable, Nylon Braided, * Heavy-Duty, 40* 2000Mhz FTP, RJ45 Flat Internet Cable, Shielded for Indoor And Outdoor Use, Suitable for Modems/Routers/Gaming/Computers, Brand: *</v>
      </c>
      <c r="E428">
        <v>4.48</v>
      </c>
      <c r="F428">
        <v>6.99</v>
      </c>
      <c r="G428">
        <v>35.91</v>
      </c>
      <c r="H428">
        <f>IF(E428="","",ROUND(E428*Resumen!$B$3,2))</f>
      </c>
      <c r="K428">
        <v>151</v>
      </c>
      <c r="L428" t="str">
        <v>151 sold</v>
      </c>
      <c r="M428" t="str">
        <v/>
      </c>
      <c r="N428" t="str">
        <v>https://img.kwcdn.com/product/fancy/3dbc2b07-710b-4ad1-aafa-70158d47200d.jpg</v>
      </c>
      <c r="O428" t="str">
        <v>https://www.temu.com/goods.html?goods_id=605507456715454</v>
      </c>
    </row>
    <row r="429">
      <c r="A429" t="str">
        <v>TI / Redes</v>
      </c>
      <c r="B429" t="str">
        <v>wifi extender</v>
      </c>
      <c r="C429" t="str">
        <v>606115429504894</v>
      </c>
      <c r="D429" t="str">
        <v>* Dual Band WiFi Extender with USB-C, Gigabit Ethernet Ports, Wall-Mountable Repeater, 7000 * Coverage, 2.4GHz/5.8GHz Bands, Black</v>
      </c>
      <c r="E429">
        <v>12.68</v>
      </c>
      <c r="F429">
        <v>59.99</v>
      </c>
      <c r="G429">
        <v>78.86</v>
      </c>
      <c r="H429">
        <f>IF(E429="","",ROUND(E429*Resumen!$B$3,2))</f>
      </c>
      <c r="I429">
        <v>4.5</v>
      </c>
      <c r="J429">
        <v>19</v>
      </c>
      <c r="K429">
        <v>144</v>
      </c>
      <c r="L429" t="str">
        <v>144 sold</v>
      </c>
      <c r="M429" t="str">
        <v/>
      </c>
      <c r="N429" t="str">
        <v>https://img.kwcdn.com/product/fancy/f575cbc7-3ac6-4310-a134-d299526310f3.jpg</v>
      </c>
      <c r="O429" t="str">
        <v>https://www.temu.com/goods.html?goods_id=606115429504894</v>
      </c>
    </row>
    <row r="430">
      <c r="A430" t="str">
        <v>TI / Redes</v>
      </c>
      <c r="B430" t="str">
        <v>ethernet cable</v>
      </c>
      <c r="C430" t="str">
        <v>601101446460995</v>
      </c>
      <c r="D430" t="str">
        <v>3ft-100ft, * Ethernet Cable, * LAN Network Cable, round cable, Outdoor&amp;Indoor, High Speed 40* 2000MHz RJ45, *</v>
      </c>
      <c r="E430">
        <v>2.17</v>
      </c>
      <c r="F430">
        <v>16.48</v>
      </c>
      <c r="G430">
        <v>86.83</v>
      </c>
      <c r="H430">
        <f>IF(E430="","",ROUND(E430*Resumen!$B$3,2))</f>
      </c>
      <c r="I430">
        <v>4.9</v>
      </c>
      <c r="J430">
        <v>15</v>
      </c>
      <c r="K430">
        <v>128</v>
      </c>
      <c r="L430" t="str">
        <v>128 sold</v>
      </c>
      <c r="M430" t="str">
        <v/>
      </c>
      <c r="N430" t="str">
        <v>https://img.kwcdn.com/product/open/96526e61816a4402a595df70ed3cb29b-goods.jpeg</v>
      </c>
      <c r="O430" t="str">
        <v>https://www.temu.com/goods.html?goods_id=601101446460995</v>
      </c>
    </row>
    <row r="431">
      <c r="A431" t="str">
        <v>TI / Redes</v>
      </c>
      <c r="B431" t="str">
        <v>wifi extender</v>
      </c>
      <c r="C431" t="str">
        <v>605919287034240</v>
      </c>
      <c r="D431" t="str">
        <v>6 * 360° Wifi Repeater, 1600Mbps Fast Wifi * Enhancer, Long-Distance Coverage Up to 1000 *, Seamless Connection to 105 Devices, Plug And *-Click Setup, Outdoor Wifi Extender with Ethernet Port</v>
      </c>
      <c r="E431">
        <v>9.71</v>
      </c>
      <c r="F431">
        <v>12.26</v>
      </c>
      <c r="G431">
        <v>20.8</v>
      </c>
      <c r="H431">
        <f>IF(E431="","",ROUND(E431*Resumen!$B$3,2))</f>
      </c>
      <c r="I431">
        <v>4.9</v>
      </c>
      <c r="J431">
        <v>24</v>
      </c>
      <c r="K431">
        <v>128</v>
      </c>
      <c r="L431" t="str">
        <v>128 sold</v>
      </c>
      <c r="M431" t="str">
        <v/>
      </c>
      <c r="N431" t="str">
        <v>https://img.kwcdn.com/product/fancy/3c71a7a9-95b1-45e4-b78f-9c44584e31d5.jpg</v>
      </c>
      <c r="O431" t="str">
        <v>https://www.temu.com/goods.html?goods_id=605919287034240</v>
      </c>
    </row>
    <row r="432">
      <c r="A432" t="str">
        <v>TI / Redes</v>
      </c>
      <c r="B432" t="str">
        <v>wifi extender</v>
      </c>
      <c r="C432" t="str">
        <v>606508570009050</v>
      </c>
      <c r="D432" t="str">
        <v>2026 New Wifi6 1800Mbps Internet Booster Wifi Repeater, Dual Band 2.4Ghz 5Ghz Wifi Range Extender with 6 *, Low Latency * Amplifier for Gaming &amp; 4K Streaming, Wide Coverage Wifi Extender for Large House, WPS *</v>
      </c>
      <c r="E432">
        <v>16.72</v>
      </c>
      <c r="F432">
        <v>19.87</v>
      </c>
      <c r="G432">
        <v>15.85</v>
      </c>
      <c r="H432">
        <f>IF(E432="","",ROUND(E432*Resumen!$B$3,2))</f>
      </c>
      <c r="I432">
        <v>4.4</v>
      </c>
      <c r="J432">
        <v>18</v>
      </c>
      <c r="K432">
        <v>128</v>
      </c>
      <c r="L432" t="str">
        <v>128 sold</v>
      </c>
      <c r="M432" t="str">
        <v/>
      </c>
      <c r="N432" t="str">
        <v>https://img.kwcdn.com/product/open/3eb7112886424e0aa38fccf96d97fe68-goods.jpeg</v>
      </c>
      <c r="O432" t="str">
        <v>https://www.temu.com/goods.html?goods_id=606508570009050</v>
      </c>
    </row>
    <row r="433">
      <c r="A433" t="str">
        <v>TI / Redes</v>
      </c>
      <c r="B433" t="str">
        <v>ethernet cable</v>
      </c>
      <c r="C433" t="str">
        <v>601101983505756</v>
      </c>
      <c r="D433" t="str">
        <v>* Ethernet Cable, Internet Cable, *, 40* 2000Mhz High Speed, Patch Cord with Gold-Plated RJ45 Connector, LAN Network Cable for Router/ Gaming/ Computer, S/ FTP</v>
      </c>
      <c r="E433">
        <v>5.72</v>
      </c>
      <c r="F433">
        <v>22.91</v>
      </c>
      <c r="G433">
        <v>75.03</v>
      </c>
      <c r="H433">
        <f>IF(E433="","",ROUND(E433*Resumen!$B$3,2))</f>
      </c>
      <c r="I433">
        <v>4.8</v>
      </c>
      <c r="J433">
        <v>20</v>
      </c>
      <c r="K433">
        <v>126</v>
      </c>
      <c r="L433" t="str">
        <v>126 sold</v>
      </c>
      <c r="M433" t="str">
        <v/>
      </c>
      <c r="N433" t="str">
        <v>https://img.kwcdn.com/product/open/fe293de3172846f8bdbbd1f85807538a-goods.jpeg</v>
      </c>
      <c r="O433" t="str">
        <v>https://www.temu.com/goods.html?goods_id=601101983505756</v>
      </c>
    </row>
    <row r="434">
      <c r="A434" t="str">
        <v>TI / Redes</v>
      </c>
      <c r="B434" t="str">
        <v>wifi extender</v>
      </c>
      <c r="C434" t="str">
        <v>605946885574748</v>
      </c>
      <c r="D434" t="str">
        <v>WiFi Extender High-Quality Wireless Internet WiFi RepeaterRouterAP * Booster Covers Up to 10000 * Anti-Interference WiFi Extender Practical Internet Extender Ideal Christmas Gift</v>
      </c>
      <c r="E434">
        <v>22.24</v>
      </c>
      <c r="F434">
        <v>24.24</v>
      </c>
      <c r="G434">
        <v>8.25</v>
      </c>
      <c r="H434">
        <f>IF(E434="","",ROUND(E434*Resumen!$B$3,2))</f>
      </c>
      <c r="I434">
        <v>4.8</v>
      </c>
      <c r="J434">
        <v>18</v>
      </c>
      <c r="K434">
        <v>116</v>
      </c>
      <c r="L434" t="str">
        <v>116 sold</v>
      </c>
      <c r="M434" t="str">
        <v/>
      </c>
      <c r="N434" t="str">
        <v>https://img.kwcdn.com/product/fancy/6847ca7a-3d93-44b7-9a5b-df54759f4e0a.jpg</v>
      </c>
      <c r="O434" t="str">
        <v>https://www.temu.com/goods.html?goods_id=605946885574748</v>
      </c>
    </row>
    <row r="435">
      <c r="A435" t="str">
        <v>TI / Redes</v>
      </c>
      <c r="B435" t="str">
        <v>ethernet cable</v>
      </c>
      <c r="C435" t="str">
        <v>601103214070324</v>
      </c>
      <c r="D435" t="str">
        <v>Starlink * Cable, Replacement for Starlink Cable *, Sturdy V3 for Rectangular Satellite, Ethernet Extension Cables</v>
      </c>
      <c r="E435">
        <v>23.91</v>
      </c>
      <c r="F435">
        <v>118.73</v>
      </c>
      <c r="G435">
        <v>79.86</v>
      </c>
      <c r="H435">
        <f>IF(E435="","",ROUND(E435*Resumen!$B$3,2))</f>
      </c>
      <c r="I435">
        <v>5</v>
      </c>
      <c r="J435">
        <v>7</v>
      </c>
      <c r="K435">
        <v>113</v>
      </c>
      <c r="L435" t="str">
        <v>113 sold</v>
      </c>
      <c r="M435" t="str">
        <v/>
      </c>
      <c r="N435" t="str">
        <v>https://img.kwcdn.com/product/fancy/aa51ced4-2743-4b7d-a3fb-d02aad882fc8.jpg</v>
      </c>
      <c r="O435" t="str">
        <v>https://www.temu.com/goods.html?goods_id=601103214070324</v>
      </c>
    </row>
    <row r="436">
      <c r="A436" t="str">
        <v>TI / Redes</v>
      </c>
      <c r="B436" t="str">
        <v>ethernet cable</v>
      </c>
      <c r="C436" t="str">
        <v>601102155628985</v>
      </c>
      <c r="D436" t="str">
        <v>* Ethernet Cable, 3ft-100ft Heavy Duty High Speed Cat 8 LAN Network Cable, 40* 2000MHz RJ45 Flat * Patch Cord, * Flat Ethernet Cable, *</v>
      </c>
      <c r="E436">
        <v>12.76</v>
      </c>
      <c r="F436">
        <v>39.98</v>
      </c>
      <c r="G436">
        <v>68.08</v>
      </c>
      <c r="H436">
        <f>IF(E436="","",ROUND(E436*Resumen!$B$3,2))</f>
      </c>
      <c r="I436">
        <v>4.9</v>
      </c>
      <c r="J436">
        <v>16</v>
      </c>
      <c r="K436">
        <v>107</v>
      </c>
      <c r="L436" t="str">
        <v>107 sold</v>
      </c>
      <c r="M436" t="str">
        <v/>
      </c>
      <c r="N436" t="str">
        <v>https://img.kwcdn.com/product/open/0c12ecc418524ebb8f21311b00f25848-goods.jpeg</v>
      </c>
      <c r="O436" t="str">
        <v>https://www.temu.com/goods.html?goods_id=601102155628985</v>
      </c>
    </row>
    <row r="437">
      <c r="A437" t="str">
        <v>TI / Redes</v>
      </c>
      <c r="B437" t="str">
        <v>ethernet cable</v>
      </c>
      <c r="C437" t="str">
        <v>605818221125158</v>
      </c>
      <c r="D437" t="str">
        <v>Cat 6 Ethernet *, * (Black/Blue/Yellow/Gray), 1* High * Cable with RJ45 Gold Plated Connectors, LAN Patch Cord for Router, Modem, PS5, *, PC, Gaming, Round</v>
      </c>
      <c r="E437">
        <v>3.54</v>
      </c>
      <c r="F437">
        <v>7.03</v>
      </c>
      <c r="G437">
        <v>49.64</v>
      </c>
      <c r="H437">
        <f>IF(E437="","",ROUND(E437*Resumen!$B$3,2))</f>
      </c>
      <c r="I437">
        <v>5</v>
      </c>
      <c r="J437">
        <v>1</v>
      </c>
      <c r="K437">
        <v>103</v>
      </c>
      <c r="L437" t="str">
        <v>103 sold</v>
      </c>
      <c r="M437" t="str">
        <v/>
      </c>
      <c r="N437" t="str">
        <v>https://img.kwcdn.com/product/fancy/55a1e317-001f-4d43-8ebf-804097b39b72.jpg</v>
      </c>
      <c r="O437" t="str">
        <v>https://www.temu.com/goods.html?goods_id=605818221125158</v>
      </c>
    </row>
    <row r="438">
      <c r="A438" t="str">
        <v>TI / Redes</v>
      </c>
      <c r="B438" t="str">
        <v>ethernet cable</v>
      </c>
      <c r="C438" t="str">
        <v>605852715052038</v>
      </c>
      <c r="D438" t="str">
        <v>Blue Cat6 Ethernet Cable, Plug-and-* Cable, Gigabit Internet Cable, Long RJ45 Network Cord, Compatible with */*e, for Gaming, Streaming, Home Office</v>
      </c>
      <c r="E438">
        <v>7.4</v>
      </c>
      <c r="F438">
        <v>58.92</v>
      </c>
      <c r="G438">
        <v>87.44</v>
      </c>
      <c r="H438">
        <f>IF(E438="","",ROUND(E438*Resumen!$B$3,2))</f>
      </c>
      <c r="K438">
        <v>98</v>
      </c>
      <c r="L438" t="str">
        <v>98 sold</v>
      </c>
      <c r="M438" t="str">
        <v/>
      </c>
      <c r="N438" t="str">
        <v>https://img.kwcdn.com/product/fancy/460dd51a-e676-4352-9b21-43c16ab33f1c.jpg</v>
      </c>
      <c r="O438" t="str">
        <v>https://www.temu.com/goods.html?goods_id=605852715052038</v>
      </c>
    </row>
    <row r="439">
      <c r="A439" t="str">
        <v>TI / Redes</v>
      </c>
      <c r="B439" t="str">
        <v>ethernet cable</v>
      </c>
      <c r="C439" t="str">
        <v>601101849261160</v>
      </c>
      <c r="D439" t="str">
        <v>* Ethernet Cable Flat Nylon, 40* 2000Mhz * Braided Internet Cable Network Cord with Plated RJ45 Connector Heavy Duty LAN Cable, 3-100ft</v>
      </c>
      <c r="E439">
        <v>4.71</v>
      </c>
      <c r="F439">
        <v>29.3</v>
      </c>
      <c r="G439">
        <v>83.92</v>
      </c>
      <c r="H439">
        <f>IF(E439="","",ROUND(E439*Resumen!$B$3,2))</f>
      </c>
      <c r="I439">
        <v>5</v>
      </c>
      <c r="J439">
        <v>11</v>
      </c>
      <c r="K439">
        <v>97</v>
      </c>
      <c r="L439" t="str">
        <v>97 sold</v>
      </c>
      <c r="M439" t="str">
        <v/>
      </c>
      <c r="N439" t="str">
        <v>https://img.kwcdn.com/product/open/7937395195754954abdd935585721d38-goods.jpeg</v>
      </c>
      <c r="O439" t="str">
        <v>https://www.temu.com/goods.html?goods_id=601101849261160</v>
      </c>
    </row>
    <row r="440">
      <c r="A440" t="str">
        <v>TI / Redes</v>
      </c>
      <c r="B440" t="str">
        <v>wifi extender</v>
      </c>
      <c r="C440" t="str">
        <v>603225193305778</v>
      </c>
      <c r="D440" t="str">
        <v>* AX1500 WiFi Extender Internet Booster, * Compatible (RE505X) (*)</v>
      </c>
      <c r="E440">
        <v>24.49</v>
      </c>
      <c r="F440">
        <v>28.99</v>
      </c>
      <c r="G440">
        <v>15.52</v>
      </c>
      <c r="H440">
        <f>IF(E440="","",ROUND(E440*Resumen!$B$3,2))</f>
      </c>
      <c r="I440">
        <v>4.9</v>
      </c>
      <c r="J440">
        <v>8</v>
      </c>
      <c r="K440">
        <v>90</v>
      </c>
      <c r="L440" t="str">
        <v>90 sold</v>
      </c>
      <c r="M440" t="str">
        <v/>
      </c>
      <c r="N440" t="str">
        <v>https://img.kwcdn.com/local-goods-image/21a4885b68/1d5a4b65-9a67-40ac-9fa1-11a295ddd2eb_1185x1185.jpeg.format.jpg</v>
      </c>
      <c r="O440" t="str">
        <v>https://www.temu.com/goods.html?goods_id=603225193305778</v>
      </c>
    </row>
    <row r="441">
      <c r="A441" t="str">
        <v>TI / Redes</v>
      </c>
      <c r="B441" t="str">
        <v>ethernet cable</v>
      </c>
      <c r="C441" t="str">
        <v>606477498552052</v>
      </c>
      <c r="D441" t="str">
        <v>CAT6 Ethernet Cable, Yellow Flexible &amp; Durable PVC Cord for Gaming,1* Gigabit Network Patch Cord with Gold-Plated RJ45 Connectors, UTP LAN Cable for Router, Modem, Switch, *, PS4/5</v>
      </c>
      <c r="E441">
        <v>4.19</v>
      </c>
      <c r="F441">
        <v>45.99</v>
      </c>
      <c r="G441">
        <v>90.89</v>
      </c>
      <c r="H441">
        <f>IF(E441="","",ROUND(E441*Resumen!$B$3,2))</f>
      </c>
      <c r="I441">
        <v>5</v>
      </c>
      <c r="J441">
        <v>3</v>
      </c>
      <c r="K441">
        <v>89</v>
      </c>
      <c r="L441" t="str">
        <v>89 sold</v>
      </c>
      <c r="M441" t="str">
        <v/>
      </c>
      <c r="N441" t="str">
        <v>https://img.kwcdn.com/product/fancy/834c39fb-6f9b-453e-85c5-a086fa4e3c51.jpg</v>
      </c>
      <c r="O441" t="str">
        <v>https://www.temu.com/goods.html?goods_id=606477498552052</v>
      </c>
    </row>
    <row r="442">
      <c r="A442" t="str">
        <v>TI / Redes</v>
      </c>
      <c r="B442" t="str">
        <v>ethernet cable</v>
      </c>
      <c r="C442" t="str">
        <v>606826179490265</v>
      </c>
      <c r="D442" t="str">
        <v>Cat6a Ethernet Cable Male RJ45 Cable Lan Cable Gigabit 1000Mbps UTP RJ45 Network Patch Cord * for PS5pcs Switch * Air Modem Router</v>
      </c>
      <c r="E442">
        <v>13.58</v>
      </c>
      <c r="F442">
        <v>15.81</v>
      </c>
      <c r="G442">
        <v>14.1</v>
      </c>
      <c r="H442">
        <f>IF(E442="","",ROUND(E442*Resumen!$B$3,2))</f>
      </c>
      <c r="I442">
        <v>5</v>
      </c>
      <c r="J442">
        <v>1</v>
      </c>
      <c r="K442">
        <v>85</v>
      </c>
      <c r="L442" t="str">
        <v>85 sold</v>
      </c>
      <c r="M442" t="str">
        <v/>
      </c>
      <c r="N442" t="str">
        <v>https://img.kwcdn.com/product/fancy/d438079e-880a-4d00-b716-c032342c58b7.jpg</v>
      </c>
      <c r="O442" t="str">
        <v>https://www.temu.com/goods.html?goods_id=606826179490265</v>
      </c>
    </row>
    <row r="443">
      <c r="A443" t="str">
        <v>TI / Redes</v>
      </c>
      <c r="B443" t="str">
        <v>ethernet cable</v>
      </c>
      <c r="C443" t="str">
        <v>601101978271251</v>
      </c>
      <c r="D443" t="str">
        <v>Cat6 Ethernet Cable, High Speed 10*, Internet Cable Network Cable, Cat6 Ethernet Patch Cable Short, Cat6 Computer Cable With Snagless RJ45 Connectors, *, 3ft-100ft</v>
      </c>
      <c r="E443">
        <v>2.52</v>
      </c>
      <c r="F443">
        <v>21.91</v>
      </c>
      <c r="G443">
        <v>88.5</v>
      </c>
      <c r="H443">
        <f>IF(E443="","",ROUND(E443*Resumen!$B$3,2))</f>
      </c>
      <c r="I443">
        <v>4.2</v>
      </c>
      <c r="J443">
        <v>10</v>
      </c>
      <c r="K443">
        <v>75</v>
      </c>
      <c r="L443" t="str">
        <v>75 sold</v>
      </c>
      <c r="M443" t="str">
        <v/>
      </c>
      <c r="N443" t="str">
        <v>https://img.kwcdn.com/product/open/d50923df4e514d6bb244ae8ecc790000-goods.jpeg</v>
      </c>
      <c r="O443" t="str">
        <v>https://www.temu.com/goods.html?goods_id=601101978271251</v>
      </c>
    </row>
    <row r="444">
      <c r="A444" t="str">
        <v>TI / Redes</v>
      </c>
      <c r="B444" t="str">
        <v>wifi extender</v>
      </c>
      <c r="C444" t="str">
        <v>605506970170227</v>
      </c>
      <c r="D444" t="str">
        <v>Ethernet Port Wifi Extender * Booster, Ultra Coverage Up to 1880 *, Wireless Wifi Repeater Range Extender, Easy Setup Internet Booster for Home Apartment</v>
      </c>
      <c r="E444">
        <v>11.47</v>
      </c>
      <c r="F444">
        <v>39.99</v>
      </c>
      <c r="G444">
        <v>71.32</v>
      </c>
      <c r="H444">
        <f>IF(E444="","",ROUND(E444*Resumen!$B$3,2))</f>
      </c>
      <c r="I444">
        <v>5</v>
      </c>
      <c r="J444">
        <v>10</v>
      </c>
      <c r="K444">
        <v>74</v>
      </c>
      <c r="L444" t="str">
        <v>74 sold</v>
      </c>
      <c r="M444" t="str">
        <v/>
      </c>
      <c r="N444" t="str">
        <v>https://img.kwcdn.com/product/algo_check/auto/7ae461e9634ad36d8751f4d63aa0a0bd_1787642702303.jpg</v>
      </c>
      <c r="O444" t="str">
        <v>https://www.temu.com/goods.html?goods_id=605506970170227</v>
      </c>
    </row>
    <row r="445">
      <c r="A445" t="str">
        <v>TI / Redes</v>
      </c>
      <c r="B445" t="str">
        <v>wifi extender</v>
      </c>
      <c r="C445" t="str">
        <v>605769718145777</v>
      </c>
      <c r="D445" t="str">
        <v>* Outdoor Solar WiFi Repeater Extender Booster with 30W Solar Panel, Dual Band 5.8G/2.4G, 300m Range &amp; 1200Mbps Speed, Compatible for 100 Devices, Suitable for Yard, Farm, Office, Commercial Use,</v>
      </c>
      <c r="E445">
        <v>150.84</v>
      </c>
      <c r="F445">
        <v>200.98</v>
      </c>
      <c r="G445">
        <v>24.95</v>
      </c>
      <c r="H445">
        <f>IF(E445="","",ROUND(E445*Resumen!$B$3,2))</f>
      </c>
      <c r="I445">
        <v>5</v>
      </c>
      <c r="J445">
        <v>5</v>
      </c>
      <c r="K445">
        <v>73</v>
      </c>
      <c r="L445" t="str">
        <v>73 sold</v>
      </c>
      <c r="M445" t="str">
        <v/>
      </c>
      <c r="N445" t="str">
        <v>https://img.kwcdn.com/product/aisc_image/algo/opt/88a93d05/3053e075/c13bb7f8-410a-4289-981a-9d5dbcfc8fc5.jpg</v>
      </c>
      <c r="O445" t="str">
        <v>https://www.temu.com/goods.html?goods_id=605769718145777</v>
      </c>
    </row>
    <row r="446">
      <c r="A446" t="str">
        <v>TI / Redes</v>
      </c>
      <c r="B446" t="str">
        <v>wifi extender</v>
      </c>
      <c r="C446" t="str">
        <v>605854191446800</v>
      </c>
      <c r="D446" t="str">
        <v>2026 WiFi Extender * Booster - 2.4GHz 3000Mbps WiFi Booster for Home, Covers Up to 10999 Sq. Ft, Easy Setup, Ethernet Port &amp; *, Stable * with 85+ Devices</v>
      </c>
      <c r="E446">
        <v>56.98</v>
      </c>
      <c r="F446">
        <v>299.99</v>
      </c>
      <c r="G446">
        <v>81.01</v>
      </c>
      <c r="H446">
        <f>IF(E446="","",ROUND(E446*Resumen!$B$3,2))</f>
      </c>
      <c r="I446">
        <v>4</v>
      </c>
      <c r="J446">
        <v>3</v>
      </c>
      <c r="K446">
        <v>71</v>
      </c>
      <c r="L446" t="str">
        <v>71 sold</v>
      </c>
      <c r="M446" t="str">
        <v/>
      </c>
      <c r="N446" t="str">
        <v>https://img.kwcdn.com/product/open/ac477664465042269fca73cd0cc293ad-goods.jpeg</v>
      </c>
      <c r="O446" t="str">
        <v>https://www.temu.com/goods.html?goods_id=605854191446800</v>
      </c>
    </row>
    <row r="447">
      <c r="A447" t="str">
        <v>TI / Redes</v>
      </c>
      <c r="B447" t="str">
        <v>ethernet cable</v>
      </c>
      <c r="C447" t="str">
        <v>606300884819539</v>
      </c>
      <c r="D447" t="str">
        <v>Set of *.2-*5 RJ45 Ethernet LAN Cables for Connecting for Ps And * to The Internet Router</v>
      </c>
      <c r="E447">
        <v>2.82</v>
      </c>
      <c r="F447">
        <v>4.08</v>
      </c>
      <c r="G447">
        <v>30.88</v>
      </c>
      <c r="H447">
        <f>IF(E447="","",ROUND(E447*Resumen!$B$3,2))</f>
      </c>
      <c r="I447">
        <v>4.6</v>
      </c>
      <c r="J447">
        <v>8</v>
      </c>
      <c r="K447">
        <v>68</v>
      </c>
      <c r="L447" t="str">
        <v>68 sold</v>
      </c>
      <c r="M447" t="str">
        <v/>
      </c>
      <c r="N447" t="str">
        <v>https://img.kwcdn.com/product/fancy/ac45326d-6bc3-444a-acde-cf4393f28fcb.jpg</v>
      </c>
      <c r="O447" t="str">
        <v>https://www.temu.com/goods.html?goods_id=606300884819539</v>
      </c>
    </row>
    <row r="448">
      <c r="A448" t="str">
        <v>TI / Redes</v>
      </c>
      <c r="B448" t="str">
        <v>ethernet cable</v>
      </c>
      <c r="C448" t="str">
        <v>606657266451025</v>
      </c>
      <c r="D448" t="str">
        <v>* Cat 8 Ethernet Cable | Nylon Braided High Speed Heavy Duty, 40* 2000Mhz SFTP RJ45 Flat Internet Cable Shielded for Wall Indoor &amp; Outdoor Use with */Gaming/Pc</v>
      </c>
      <c r="E448">
        <v>3.57</v>
      </c>
      <c r="F448">
        <v>5.3</v>
      </c>
      <c r="G448">
        <v>32.64</v>
      </c>
      <c r="H448">
        <f>IF(E448="","",ROUND(E448*Resumen!$B$3,2))</f>
      </c>
      <c r="I448">
        <v>1</v>
      </c>
      <c r="J448">
        <v>1</v>
      </c>
      <c r="K448">
        <v>67</v>
      </c>
      <c r="L448" t="str">
        <v>67 sold</v>
      </c>
      <c r="M448" t="str">
        <v/>
      </c>
      <c r="N448" t="str">
        <v>https://img.kwcdn.com/product/fancy/75d5a095-2c77-451e-9e03-27dbeffff186.jpg</v>
      </c>
      <c r="O448" t="str">
        <v>https://www.temu.com/goods.html?goods_id=606657266451025</v>
      </c>
    </row>
    <row r="449">
      <c r="A449" t="str">
        <v>TI / Redes</v>
      </c>
      <c r="B449" t="str">
        <v>wifi extender</v>
      </c>
      <c r="C449" t="str">
        <v>601102768777415</v>
      </c>
      <c r="D449" t="str">
        <v>* Wifi Extender Can Boost * Up to 5000 * Support * 55 Devices And Is A Wireless Network Repeater with An Ethernet * Is A Long-Range Amplifier That Features *-Touch Setup This Wifi * Booster Is Suitable for * And *, Multidevice Support, Large Home Network, Modern Wifi Extender, *, * Repeater, Reliable * Amplifier, Wireless Extender, Network Amplifier, Office Workers, Small Businesses</v>
      </c>
      <c r="E449">
        <v>16.93</v>
      </c>
      <c r="F449">
        <v>17.94</v>
      </c>
      <c r="G449">
        <v>5.63</v>
      </c>
      <c r="H449">
        <f>IF(E449="","",ROUND(E449*Resumen!$B$3,2))</f>
      </c>
      <c r="I449">
        <v>4.1</v>
      </c>
      <c r="J449">
        <v>9</v>
      </c>
      <c r="K449">
        <v>66</v>
      </c>
      <c r="L449" t="str">
        <v>66 sold</v>
      </c>
      <c r="M449" t="str">
        <v/>
      </c>
      <c r="N449" t="str">
        <v>https://img.kwcdn.com/product/fancy/d240cdd5-7f68-4c81-bdfc-304a504f69e5.jpg</v>
      </c>
      <c r="O449" t="str">
        <v>https://www.temu.com/goods.html?goods_id=601102768777415</v>
      </c>
    </row>
    <row r="450">
      <c r="A450" t="str">
        <v>TI / Redes</v>
      </c>
      <c r="B450" t="str">
        <v>wifi extender</v>
      </c>
      <c r="C450" t="str">
        <v>601099609468100</v>
      </c>
      <c r="D450" t="str">
        <v>2024 Newest Wifi Extender Wireless Booster 1200Mbps Range Up to 9500 * And 35 Devices, Repeater * Amplifier with WAN/LAN Port Internet Booster for Home</v>
      </c>
      <c r="E450">
        <v>28.89</v>
      </c>
      <c r="F450">
        <v>99.99</v>
      </c>
      <c r="G450">
        <v>71.11</v>
      </c>
      <c r="H450">
        <f>IF(E450="","",ROUND(E450*Resumen!$B$3,2))</f>
      </c>
      <c r="I450">
        <v>4.8</v>
      </c>
      <c r="J450">
        <v>16</v>
      </c>
      <c r="K450">
        <v>64</v>
      </c>
      <c r="L450" t="str">
        <v>64 sold</v>
      </c>
      <c r="M450" t="str">
        <v/>
      </c>
      <c r="N450" t="str">
        <v>https://img.kwcdn.com/product/fancy/37af000d-8bc5-4c1b-8d2f-048f2faa7608.jpg</v>
      </c>
      <c r="O450" t="str">
        <v>https://www.temu.com/goods.html?goods_id=601099609468100</v>
      </c>
    </row>
    <row r="451">
      <c r="A451" t="str">
        <v>TI / Redes</v>
      </c>
      <c r="B451" t="str">
        <v>wifi extender</v>
      </c>
      <c r="C451" t="str">
        <v>601100350995554</v>
      </c>
      <c r="D451" t="str">
        <v>* WiFi6 *, Dual Band 2.4G+5G */* Long Range * Extender with PoE/4x8dBi High-* */* Booster Amplifier</v>
      </c>
      <c r="E451">
        <v>155.05</v>
      </c>
      <c r="F451">
        <v>459.6</v>
      </c>
      <c r="G451">
        <v>66.26</v>
      </c>
      <c r="H451">
        <f>IF(E451="","",ROUND(E451*Resumen!$B$3,2))</f>
      </c>
      <c r="I451">
        <v>4.3</v>
      </c>
      <c r="J451">
        <v>7</v>
      </c>
      <c r="K451">
        <v>64</v>
      </c>
      <c r="L451" t="str">
        <v>64 sold</v>
      </c>
      <c r="M451" t="str">
        <v/>
      </c>
      <c r="N451" t="str">
        <v>https://img.kwcdn.com/product/fancy/f18544fd-b353-47a2-85be-e0af260d33bf.jpg</v>
      </c>
      <c r="O451" t="str">
        <v>https://www.temu.com/goods.html?goods_id=601100350995554</v>
      </c>
    </row>
    <row r="452">
      <c r="A452" t="str">
        <v>TI / Redes</v>
      </c>
      <c r="B452" t="str">
        <v>ethernet cable</v>
      </c>
      <c r="C452" t="str">
        <v>601103966717532</v>
      </c>
      <c r="D452" t="str">
        <v>100Ft * Ethernet Cable, * 40* 2000 Mhz, Rj45, Professional Flat Internet Cable for Gaming/ Modem/ Router/ PC/ PS5/ *</v>
      </c>
      <c r="E452">
        <v>3.87</v>
      </c>
      <c r="F452">
        <v>31.87</v>
      </c>
      <c r="G452">
        <v>87.86</v>
      </c>
      <c r="H452">
        <f>IF(E452="","",ROUND(E452*Resumen!$B$3,2))</f>
      </c>
      <c r="I452">
        <v>4.2</v>
      </c>
      <c r="J452">
        <v>10</v>
      </c>
      <c r="K452">
        <v>60</v>
      </c>
      <c r="L452" t="str">
        <v>60 sold</v>
      </c>
      <c r="M452" t="str">
        <v/>
      </c>
      <c r="N452" t="str">
        <v>https://img.kwcdn.com/product/open/04a786b7b9dc4efba57b186229c43e09-goods.jpeg</v>
      </c>
      <c r="O452" t="str">
        <v>https://www.temu.com/goods.html?goods_id=601103966717532</v>
      </c>
    </row>
    <row r="453">
      <c r="A453" t="str">
        <v>TI / Redes</v>
      </c>
      <c r="B453" t="str">
        <v>wifi extender</v>
      </c>
      <c r="C453" t="str">
        <v>605509117643127</v>
      </c>
      <c r="D453" t="str">
        <v>Wifi Extender/Booster, Long-Range Wifi * Enhancer, Wifi Repeater with Ethernet Port, Coverage Up to 1200 *, Supports 55 Devices, Easy to Set Up, Home Internet * Booster, High-Performance Antenna, Reliable *.</v>
      </c>
      <c r="E453">
        <v>10.74</v>
      </c>
      <c r="F453">
        <v>29.99</v>
      </c>
      <c r="G453">
        <v>64.19</v>
      </c>
      <c r="H453">
        <f>IF(E453="","",ROUND(E453*Resumen!$B$3,2))</f>
      </c>
      <c r="I453">
        <v>4.5</v>
      </c>
      <c r="J453">
        <v>8</v>
      </c>
      <c r="K453">
        <v>60</v>
      </c>
      <c r="L453" t="str">
        <v>60 sold</v>
      </c>
      <c r="M453" t="str">
        <v/>
      </c>
      <c r="N453" t="str">
        <v>https://img.kwcdn.com/product/fancy/db0acbb2-75fd-4756-8e09-428e7bf7630b.jpg</v>
      </c>
      <c r="O453" t="str">
        <v>https://www.temu.com/goods.html?goods_id=605509117643127</v>
      </c>
    </row>
    <row r="454">
      <c r="A454" t="str">
        <v>TI / Redes</v>
      </c>
      <c r="B454" t="str">
        <v>ethernet cable</v>
      </c>
      <c r="C454" t="str">
        <v>605742656497369</v>
      </c>
      <c r="D454" t="str">
        <v>* 1*8 Black Braided Ethernet Cable, 40* 2000MHz High Speed LAN Wire, */19.69/59.06inch Multi Sizes, Fit Router Modem Laptop Desktop &amp; Gaming Gear, 2pcs DustCaps, RJ45 Network Patch Cord</v>
      </c>
      <c r="E454">
        <v>4.98</v>
      </c>
      <c r="H454">
        <f>IF(E454="","",ROUND(E454*Resumen!$B$3,2))</f>
      </c>
      <c r="K454">
        <v>55</v>
      </c>
      <c r="L454" t="str">
        <v>55 sold</v>
      </c>
      <c r="M454" t="str">
        <v/>
      </c>
      <c r="N454" t="str">
        <v>https://img.kwcdn.com/product/fancy/6b36834e-7fcd-4bb5-a796-427682f8c70d.jpg</v>
      </c>
      <c r="O454" t="str">
        <v>https://www.temu.com/goods.html?goods_id=605742656497369</v>
      </c>
    </row>
    <row r="455">
      <c r="A455" t="str">
        <v>TI / Redes</v>
      </c>
      <c r="B455" t="str">
        <v>wifi extender</v>
      </c>
      <c r="C455" t="str">
        <v>605864660412173</v>
      </c>
      <c r="D455" t="str">
        <v>WiFi Extender, 2026 Fastest WiFi Booster Dual Band (5GHz/2.4GHz) WiFi Extenders * Booster for Home, WiFi Repeater with Ethernet Port Covers up to 10000sq. Ft and 85+ Devices</v>
      </c>
      <c r="E455">
        <v>17.18</v>
      </c>
      <c r="F455">
        <v>109.99</v>
      </c>
      <c r="G455">
        <v>84.38</v>
      </c>
      <c r="H455">
        <f>IF(E455="","",ROUND(E455*Resumen!$B$3,2))</f>
      </c>
      <c r="I455">
        <v>5</v>
      </c>
      <c r="J455">
        <v>3</v>
      </c>
      <c r="K455">
        <v>49</v>
      </c>
      <c r="L455" t="str">
        <v>49 sold</v>
      </c>
      <c r="M455" t="str">
        <v/>
      </c>
      <c r="N455" t="str">
        <v>https://img.kwcdn.com/product/open/80eecf28f6dc430f9eae3e9ea24b3175-goods.jpeg</v>
      </c>
      <c r="O455" t="str">
        <v>https://www.temu.com/goods.html?goods_id=605864660412173</v>
      </c>
    </row>
    <row r="456">
      <c r="A456" t="str">
        <v>TI / Redes</v>
      </c>
      <c r="B456" t="str">
        <v>ethernet cable</v>
      </c>
      <c r="C456" t="str">
        <v>601104818056314</v>
      </c>
      <c r="D456" t="str">
        <v>100FT * Ethernet Cable, * of 40* And 2000Mhz, This * Network Patch Cord Features SFTP Shielding And Gold-Plated RJ45 Connectors, Suitable for * Indoor And Outdoor Use, And * with Clips for Flat Installation</v>
      </c>
      <c r="E456">
        <v>19.98</v>
      </c>
      <c r="F456">
        <v>64</v>
      </c>
      <c r="G456">
        <v>68.78</v>
      </c>
      <c r="H456">
        <f>IF(E456="","",ROUND(E456*Resumen!$B$3,2))</f>
      </c>
      <c r="I456">
        <v>5</v>
      </c>
      <c r="J456">
        <v>7</v>
      </c>
      <c r="K456">
        <v>47</v>
      </c>
      <c r="L456" t="str">
        <v>47 sold</v>
      </c>
      <c r="M456" t="str">
        <v/>
      </c>
      <c r="N456" t="str">
        <v>https://img.kwcdn.com/product/open/de38ed7fddaf450f9e4445d1bcef241c-goods.jpeg</v>
      </c>
      <c r="O456" t="str">
        <v>https://www.temu.com/goods.html?goods_id=601104818056314</v>
      </c>
    </row>
    <row r="457">
      <c r="A457" t="str">
        <v>TI / Redes</v>
      </c>
      <c r="B457" t="str">
        <v>ethernet cable</v>
      </c>
      <c r="C457" t="str">
        <v>601101609252779</v>
      </c>
      <c r="D457" t="str">
        <v>* * Ethernet Cable, 25/ 30/ 50/ 75/ 100ft Flat Network LAN Cable Shielded, 26 AWG 40 * 2000 Mhz - * Rj45 Cord Support */ Cat6/ *, Professional Flat Internet Cable for Gaming/ Modem/ Router/ PC/ PS5/ * - Black/ White</v>
      </c>
      <c r="E457">
        <v>5.4</v>
      </c>
      <c r="F457">
        <v>27.76</v>
      </c>
      <c r="G457">
        <v>80.55</v>
      </c>
      <c r="H457">
        <f>IF(E457="","",ROUND(E457*Resumen!$B$3,2))</f>
      </c>
      <c r="I457">
        <v>5</v>
      </c>
      <c r="J457">
        <v>3</v>
      </c>
      <c r="K457">
        <v>46</v>
      </c>
      <c r="L457" t="str">
        <v>46 sold</v>
      </c>
      <c r="M457" t="str">
        <v/>
      </c>
      <c r="N457" t="str">
        <v>https://img.kwcdn.com/product/fancy/8109e760-7661-4553-9ca0-5137bc5dca1d.jpg</v>
      </c>
      <c r="O457" t="str">
        <v>https://www.temu.com/goods.html?goods_id=601101609252779</v>
      </c>
    </row>
    <row r="458">
      <c r="A458" t="str">
        <v>TI / Redes</v>
      </c>
      <c r="B458" t="str">
        <v>ethernet cable</v>
      </c>
      <c r="C458" t="str">
        <v>602370486419101</v>
      </c>
      <c r="D458" t="str">
        <v>1pc J&amp;D Ethernet Extension Cable, Cat 6 Ethernet Extender Cable Adapter (3ft) Supports Cat6 / *e / * *, RJ45 Wire Shielded Male to Female Black</v>
      </c>
      <c r="E458">
        <v>3.97</v>
      </c>
      <c r="F458">
        <v>16.57</v>
      </c>
      <c r="G458">
        <v>76.04</v>
      </c>
      <c r="H458">
        <f>IF(E458="","",ROUND(E458*Resumen!$B$3,2))</f>
      </c>
      <c r="I458">
        <v>5</v>
      </c>
      <c r="J458">
        <v>4</v>
      </c>
      <c r="K458">
        <v>46</v>
      </c>
      <c r="L458" t="str">
        <v>46 sold</v>
      </c>
      <c r="M458" t="str">
        <v/>
      </c>
      <c r="N458" t="str">
        <v>https://img.kwcdn.com/local-goods-image/201365d3714/1bc1124c-b79f-4c73-b208-17040efacb14_1500x1500.jpeg.format.jpg</v>
      </c>
      <c r="O458" t="str">
        <v>https://www.temu.com/goods.html?goods_id=602370486419101</v>
      </c>
    </row>
    <row r="459">
      <c r="A459" t="str">
        <v>TI / Redes</v>
      </c>
      <c r="B459" t="str">
        <v>ethernet cable</v>
      </c>
      <c r="C459" t="str">
        <v>607035492040106</v>
      </c>
      <c r="D459" t="str">
        <v>5pcs * Ethernet Cable 40* Shielded Gaming &amp; Streaming Cord Pure Copper SFTP Double Shielded 568B Wiring Gold-Plated Copper Hood Low Latency 8K HDR for PS5 * * TV</v>
      </c>
      <c r="E459">
        <v>7.06</v>
      </c>
      <c r="H459">
        <f>IF(E459="","",ROUND(E459*Resumen!$B$3,2))</f>
      </c>
      <c r="K459">
        <v>46</v>
      </c>
      <c r="L459" t="str">
        <v>46 sold</v>
      </c>
      <c r="M459" t="str">
        <v/>
      </c>
      <c r="N459" t="str">
        <v>https://img.kwcdn.com/product/open/87f86d71be80471a86bf436ef57d800b-goods.jpeg</v>
      </c>
      <c r="O459" t="str">
        <v>https://www.temu.com/goods.html?goods_id=607035492040106</v>
      </c>
    </row>
    <row r="460">
      <c r="A460" t="str">
        <v>TI / Redes</v>
      </c>
      <c r="B460" t="str">
        <v>ethernet cable</v>
      </c>
      <c r="C460" t="str">
        <v>601103947901807</v>
      </c>
      <c r="D460" t="str">
        <v>3ft/ 50ft/ 100ft * Ethernet Cab, Round Cable, Outdoor Indoor with High Speed, 40* 2000MHz, Internet Cable Lans, Compatible with */ Cat6/ *</v>
      </c>
      <c r="E460">
        <v>5.62</v>
      </c>
      <c r="H460">
        <f>IF(E460="","",ROUND(E460*Resumen!$B$3,2))</f>
      </c>
      <c r="I460">
        <v>5</v>
      </c>
      <c r="J460">
        <v>7</v>
      </c>
      <c r="K460">
        <v>43</v>
      </c>
      <c r="L460" t="str">
        <v>43 sold</v>
      </c>
      <c r="M460" t="str">
        <v/>
      </c>
      <c r="N460" t="str">
        <v>https://img.kwcdn.com/product/open/b3c68d5fe7e54e94bbd501f6fdc2e3b3-goods.jpeg</v>
      </c>
      <c r="O460" t="str">
        <v>https://www.temu.com/goods.html?goods_id=601103947901807</v>
      </c>
    </row>
    <row r="461">
      <c r="A461" t="str">
        <v>TI / Redes</v>
      </c>
      <c r="B461" t="str">
        <v>wifi extender</v>
      </c>
      <c r="C461" t="str">
        <v>606824300414486</v>
      </c>
      <c r="D461" t="str">
        <v>1800Mbps Wifi 6 Range Extender, Dual Band 2.4G &amp; 5G Wifi Repeater with 6 High-* *, * Booster to Eliminate Dead Zones, * Wifi Amplifier for Home And Outdoor Coverage</v>
      </c>
      <c r="E461">
        <v>21.05</v>
      </c>
      <c r="F461">
        <v>109.99</v>
      </c>
      <c r="G461">
        <v>80.86</v>
      </c>
      <c r="H461">
        <f>IF(E461="","",ROUND(E461*Resumen!$B$3,2))</f>
      </c>
      <c r="I461">
        <v>5</v>
      </c>
      <c r="J461">
        <v>6</v>
      </c>
      <c r="K461">
        <v>43</v>
      </c>
      <c r="L461" t="str">
        <v>43 sold</v>
      </c>
      <c r="M461" t="str">
        <v/>
      </c>
      <c r="N461" t="str">
        <v>https://img.kwcdn.com/product/open/06bfa3fa0edf4735991129aed4ad928b-goods.jpeg</v>
      </c>
      <c r="O461" t="str">
        <v>https://www.temu.com/goods.html?goods_id=606824300414486</v>
      </c>
    </row>
    <row r="462">
      <c r="A462" t="str">
        <v>TI / Redes</v>
      </c>
      <c r="B462" t="str">
        <v>ethernet cable</v>
      </c>
      <c r="C462" t="str">
        <v>605515560151213</v>
      </c>
      <c r="D462" t="str">
        <v>Gray Cat 6 Ethernet Cable - 1* RJ45 LAN Network Patch Cord, Durable Cable with Standard Connectors, Compatible with Router, Modem, Gaming Consoles (PS4/PS5, *), Multiple Length Options</v>
      </c>
      <c r="E462">
        <v>8.71</v>
      </c>
      <c r="F462">
        <v>62.61</v>
      </c>
      <c r="G462">
        <v>86.09</v>
      </c>
      <c r="H462">
        <f>IF(E462="","",ROUND(E462*Resumen!$B$3,2))</f>
      </c>
      <c r="K462">
        <v>42</v>
      </c>
      <c r="L462" t="str">
        <v>42 sold</v>
      </c>
      <c r="M462" t="str">
        <v/>
      </c>
      <c r="N462" t="str">
        <v>https://img.kwcdn.com/product/fancy/21342b9b-f225-40b2-a498-07bae35520c7.jpg</v>
      </c>
      <c r="O462" t="str">
        <v>https://www.temu.com/goods.html?goods_id=605515560151213</v>
      </c>
    </row>
    <row r="463">
      <c r="A463" t="str">
        <v>TI / Redes</v>
      </c>
      <c r="B463" t="str">
        <v>wifi extender</v>
      </c>
      <c r="C463" t="str">
        <v>606416916026332</v>
      </c>
      <c r="D463" t="str">
        <v>WiFi Extender Supports 105 Devices, 1.2* Home * Booster, Dual Band 5GHz/2.4GHz, Covers Up To 12880 *, * Compatible</v>
      </c>
      <c r="E463">
        <v>23.67</v>
      </c>
      <c r="F463">
        <v>109.99</v>
      </c>
      <c r="G463">
        <v>78.48</v>
      </c>
      <c r="H463">
        <f>IF(E463="","",ROUND(E463*Resumen!$B$3,2))</f>
      </c>
      <c r="I463">
        <v>5</v>
      </c>
      <c r="J463">
        <v>2</v>
      </c>
      <c r="K463">
        <v>41</v>
      </c>
      <c r="L463" t="str">
        <v>41 sold</v>
      </c>
      <c r="M463" t="str">
        <v/>
      </c>
      <c r="N463" t="str">
        <v>https://img.kwcdn.com/product/open/49cc9a3c63624af28d8b9b519344d507-goods.jpeg</v>
      </c>
      <c r="O463" t="str">
        <v>https://www.temu.com/goods.html?goods_id=606416916026332</v>
      </c>
    </row>
    <row r="464">
      <c r="A464" t="str">
        <v>TI / Redes</v>
      </c>
      <c r="B464" t="str">
        <v>wifi extender</v>
      </c>
      <c r="C464" t="str">
        <v>605730107152717</v>
      </c>
      <c r="D464" t="str">
        <v>Wifi 6 * Booster 1800Mbps, Dual Band Wifi Extender with 6 High-* *, Strong Wall *, * Coverage</v>
      </c>
      <c r="E464">
        <v>8.59</v>
      </c>
      <c r="F464">
        <v>39.18</v>
      </c>
      <c r="G464">
        <v>78.08</v>
      </c>
      <c r="H464">
        <f>IF(E464="","",ROUND(E464*Resumen!$B$3,2))</f>
      </c>
      <c r="I464">
        <v>4.7</v>
      </c>
      <c r="J464">
        <v>7</v>
      </c>
      <c r="K464">
        <v>40</v>
      </c>
      <c r="L464" t="str">
        <v>40 sold</v>
      </c>
      <c r="M464" t="str">
        <v/>
      </c>
      <c r="N464" t="str">
        <v>https://img.kwcdn.com/product/fancy/33bb709c-4780-4db7-a763-06469dd59b32.jpg</v>
      </c>
      <c r="O464" t="str">
        <v>https://www.temu.com/goods.html?goods_id=605730107152717</v>
      </c>
    </row>
    <row r="465">
      <c r="A465" t="str">
        <v>TI / Redes</v>
      </c>
      <c r="B465" t="str">
        <v>ethernet cable</v>
      </c>
      <c r="C465" t="str">
        <v>601103078748452</v>
      </c>
      <c r="D465" t="str">
        <v>* CAT 8 Ethernet Cable, * in 6Ft (3 Pack/5 Pack), Supports 40* And 2000Mhz. This FTP 26AWG * LAN Internet Network Cord Features Gold Plated RJ45 Connectors, Ideal for Gaming, Routers, Modems</v>
      </c>
      <c r="E465">
        <v>10</v>
      </c>
      <c r="F465">
        <v>13.69</v>
      </c>
      <c r="G465">
        <v>26.95</v>
      </c>
      <c r="H465">
        <f>IF(E465="","",ROUND(E465*Resumen!$B$3,2))</f>
      </c>
      <c r="K465">
        <v>37</v>
      </c>
      <c r="L465" t="str">
        <v>37 sold</v>
      </c>
      <c r="M465" t="str">
        <v/>
      </c>
      <c r="N465" t="str">
        <v>https://img.kwcdn.com/product/fancy/2859e94e-10c9-43ba-903d-a61c9029aca4.jpg</v>
      </c>
      <c r="O465" t="str">
        <v>https://www.temu.com/goods.html?goods_id=601103078748452</v>
      </c>
    </row>
    <row r="466">
      <c r="A466" t="str">
        <v>TI / Redes</v>
      </c>
      <c r="B466" t="str">
        <v>wifi extender</v>
      </c>
      <c r="C466" t="str">
        <v>607586187369373</v>
      </c>
      <c r="D466" t="str">
        <v>* WiFi 6 Range Extender Compatible for Home/Office/Gaming, Dual-Band 2.4GHz &amp; 5GHz Booster with 6 *, Gigabit Ethernet Port, WPS Setup, Supports 52 Devices, Router Extender for Coverage</v>
      </c>
      <c r="E466">
        <v>17.18</v>
      </c>
      <c r="F466">
        <v>89.99</v>
      </c>
      <c r="G466">
        <v>80.91</v>
      </c>
      <c r="H466">
        <f>IF(E466="","",ROUND(E466*Resumen!$B$3,2))</f>
      </c>
      <c r="I466">
        <v>1</v>
      </c>
      <c r="J466">
        <v>1</v>
      </c>
      <c r="K466">
        <v>35</v>
      </c>
      <c r="L466" t="str">
        <v>35 sold</v>
      </c>
      <c r="M466" t="str">
        <v/>
      </c>
      <c r="N466" t="str">
        <v>https://img.kwcdn.com/product/fancy/f64c3d73-9bac-47f8-8293-c6c8e4044e1a.jpg</v>
      </c>
      <c r="O466" t="str">
        <v>https://www.temu.com/goods.html?goods_id=607586187369373</v>
      </c>
    </row>
    <row r="467">
      <c r="A467" t="str">
        <v>TI / Redes</v>
      </c>
      <c r="B467" t="str">
        <v>ethernet cable</v>
      </c>
      <c r="C467" t="str">
        <v>601103364369205</v>
      </c>
      <c r="D467" t="str">
        <v>* Ethernet Cable, Outdoor&amp;Indoor, 50ft Heavy Duty High Speed, * Lan Network Cable, 40* 2000MHz RJ45 Flat * Patch Cord, Used for Router/ Modem/ Gaming</v>
      </c>
      <c r="E467">
        <v>3.65</v>
      </c>
      <c r="F467">
        <v>20.07</v>
      </c>
      <c r="G467">
        <v>81.81</v>
      </c>
      <c r="H467">
        <f>IF(E467="","",ROUND(E467*Resumen!$B$3,2))</f>
      </c>
      <c r="I467">
        <v>4.7</v>
      </c>
      <c r="J467">
        <v>3</v>
      </c>
      <c r="K467">
        <v>34</v>
      </c>
      <c r="L467" t="str">
        <v>34 sold</v>
      </c>
      <c r="M467" t="str">
        <v/>
      </c>
      <c r="N467" t="str">
        <v>https://img.kwcdn.com/product/open/7d68cee34d2645f5b68a95c9330df665-goods.jpeg</v>
      </c>
      <c r="O467" t="str">
        <v>https://www.temu.com/goods.html?goods_id=601103364369205</v>
      </c>
    </row>
    <row r="468">
      <c r="A468" t="str">
        <v>TI / Redes</v>
      </c>
      <c r="B468" t="str">
        <v>ethernet cable</v>
      </c>
      <c r="C468" t="str">
        <v>601101848892509</v>
      </c>
      <c r="D468" t="str">
        <v>High-Performance Nylon * Ethernet Cable, * of 40* And 2000Mhz, Featuring a Braided Design And Gold-Plated RJ45 Connector, Designed for Heavy-Duty LAN Connections</v>
      </c>
      <c r="E468">
        <v>29.99</v>
      </c>
      <c r="H468">
        <f>IF(E468="","",ROUND(E468*Resumen!$B$3,2))</f>
      </c>
      <c r="I468">
        <v>5</v>
      </c>
      <c r="J468">
        <v>4</v>
      </c>
      <c r="K468">
        <v>33</v>
      </c>
      <c r="L468" t="str">
        <v>33 sold</v>
      </c>
      <c r="M468" t="str">
        <v/>
      </c>
      <c r="N468" t="str">
        <v>https://img.kwcdn.com/product/open/bdfdb8868e274f8991d8e9eea1034fb5-goods.jpeg</v>
      </c>
      <c r="O468" t="str">
        <v>https://www.temu.com/goods.html?goods_id=601101848892509</v>
      </c>
    </row>
    <row r="469">
      <c r="A469" t="str">
        <v>TI / Redes</v>
      </c>
      <c r="B469" t="str">
        <v>wifi extender</v>
      </c>
      <c r="C469" t="str">
        <v>601105808731354</v>
      </c>
      <c r="D469" t="str">
        <v>Wifi * Extender - Covers Up to 1500 * And Supports Multiple Devices - 1200 Mbps Dual-Band Wireless * Booster And Repeater Up to 12 * Speed Compact Wall-Plug Design - Perfect As a Christmas Gift for *</v>
      </c>
      <c r="E469">
        <v>18.06</v>
      </c>
      <c r="H469">
        <f>IF(E469="","",ROUND(E469*Resumen!$B$3,2))</f>
      </c>
      <c r="I469">
        <v>4.3</v>
      </c>
      <c r="J469">
        <v>3</v>
      </c>
      <c r="K469">
        <v>32</v>
      </c>
      <c r="L469" t="str">
        <v>32 sold</v>
      </c>
      <c r="M469" t="str">
        <v/>
      </c>
      <c r="N469" t="str">
        <v>https://img.kwcdn.com/product/fancy/1daed53e-5030-4522-b1e7-a160946a8601.jpg</v>
      </c>
      <c r="O469" t="str">
        <v>https://www.temu.com/goods.html?goods_id=601105808731354</v>
      </c>
    </row>
    <row r="470">
      <c r="A470" t="str">
        <v>TI / Redes</v>
      </c>
      <c r="B470" t="str">
        <v>wifi extender</v>
      </c>
      <c r="C470" t="str">
        <v>607628533033793</v>
      </c>
      <c r="D470" t="str">
        <v>* 1500Mbps Wifi Extender for Home, 6-Antenna * Booster Designed to Push Wifi * Into *, Easy Setup Range Repeater for Streaming, Work &amp; Daily Internet</v>
      </c>
      <c r="E470">
        <v>17.58</v>
      </c>
      <c r="F470">
        <v>109.99</v>
      </c>
      <c r="G470">
        <v>84.02</v>
      </c>
      <c r="H470">
        <f>IF(E470="","",ROUND(E470*Resumen!$B$3,2))</f>
      </c>
      <c r="K470">
        <v>32</v>
      </c>
      <c r="L470" t="str">
        <v>32 sold</v>
      </c>
      <c r="M470" t="str">
        <v/>
      </c>
      <c r="N470" t="str">
        <v>https://img.kwcdn.com/product/fancy/ed1aac0b-89d8-41f5-ac4b-9e500ccf0332.jpg</v>
      </c>
      <c r="O470" t="str">
        <v>https://www.temu.com/goods.html?goods_id=607628533033793</v>
      </c>
    </row>
    <row r="471">
      <c r="A471" t="str">
        <v>TI / Redes</v>
      </c>
      <c r="B471" t="str">
        <v>ethernet cable</v>
      </c>
      <c r="C471" t="str">
        <v>607308826385949</v>
      </c>
      <c r="D471" t="str">
        <v>16FT/32FT/48FT/65FT/80FT/96FT/132FT/166FT Cat6A Ethernet Network Cable, * Compatible, Shielded, Anti-Interference, Long Network Cable Jumper 1* Suitable for 250Mhz/S UTP Console, PS3, PS4, PS5, *, Switch, Router, Modem, Patch Panel</v>
      </c>
      <c r="E471">
        <v>8.38</v>
      </c>
      <c r="F471">
        <v>51.06</v>
      </c>
      <c r="G471">
        <v>83.59</v>
      </c>
      <c r="H471">
        <f>IF(E471="","",ROUND(E471*Resumen!$B$3,2))</f>
      </c>
      <c r="K471">
        <v>31</v>
      </c>
      <c r="L471" t="str">
        <v>31 sold</v>
      </c>
      <c r="M471" t="str">
        <v/>
      </c>
      <c r="N471" t="str">
        <v>https://img.kwcdn.com/product/fancy/b4172bbd-f4e5-4b6c-a2b5-437f3da7434c.jpg</v>
      </c>
      <c r="O471" t="str">
        <v>https://www.temu.com/goods.html?goods_id=607308826385949</v>
      </c>
    </row>
    <row r="472">
      <c r="A472" t="str">
        <v>TI / Redes</v>
      </c>
      <c r="B472" t="str">
        <v>ethernet cable</v>
      </c>
      <c r="C472" t="str">
        <v>606490198919935</v>
      </c>
      <c r="D472" t="str">
        <v>Black CAT 6 Gigabit Ethernet Cable for Home And Office, Gold Plated, Support CAT6 Network * Flat Computer LAN for Pc/Service Room/*/Gaming, Black RJ45 UTP Network Patch Cord Snagless with * Relief</v>
      </c>
      <c r="E472">
        <v>2.07</v>
      </c>
      <c r="F472">
        <v>14.99</v>
      </c>
      <c r="G472">
        <v>86.19</v>
      </c>
      <c r="H472">
        <f>IF(E472="","",ROUND(E472*Resumen!$B$3,2))</f>
      </c>
      <c r="K472">
        <v>30</v>
      </c>
      <c r="L472" t="str">
        <v>30 sold</v>
      </c>
      <c r="M472" t="str">
        <v/>
      </c>
      <c r="N472" t="str">
        <v>https://img.kwcdn.com/product/fancy/5b9b529d-1051-4619-9f7d-cf62245df28f.jpg</v>
      </c>
      <c r="O472" t="str">
        <v>https://www.temu.com/goods.html?goods_id=606490198919935</v>
      </c>
    </row>
    <row r="473">
      <c r="A473" t="str">
        <v>TI / Redes</v>
      </c>
      <c r="B473" t="str">
        <v>wifi extender</v>
      </c>
      <c r="C473" t="str">
        <v>606835507602257</v>
      </c>
      <c r="D473" t="str">
        <v>Dual Band Wifi Repeater, 2.4Ghz &amp; 5Ghz Wireless Range Extender with High-* *, Strong Through-Wall *, * Home Coverage, Stable Multi-Device Connection, Easy Setup</v>
      </c>
      <c r="E473">
        <v>6.65</v>
      </c>
      <c r="F473">
        <v>36.35</v>
      </c>
      <c r="G473">
        <v>81.71</v>
      </c>
      <c r="H473">
        <f>IF(E473="","",ROUND(E473*Resumen!$B$3,2))</f>
      </c>
      <c r="I473">
        <v>5</v>
      </c>
      <c r="J473">
        <v>2</v>
      </c>
      <c r="K473">
        <v>29</v>
      </c>
      <c r="L473" t="str">
        <v>29 sold</v>
      </c>
      <c r="M473" t="str">
        <v/>
      </c>
      <c r="N473" t="str">
        <v>https://img.kwcdn.com/product/open/432b2645fb6945c1ac5b4b8094e2626f-goods.jpeg</v>
      </c>
      <c r="O473" t="str">
        <v>https://www.temu.com/goods.html?goods_id=606835507602257</v>
      </c>
    </row>
    <row r="474">
      <c r="A474" t="str">
        <v>TI / Redes</v>
      </c>
      <c r="B474" t="str">
        <v>wifi extender</v>
      </c>
      <c r="C474" t="str">
        <v>605895664711051</v>
      </c>
      <c r="D474" t="str">
        <v>1400Mbps Wifi 6 Range Extender, * Wireless Repeater And * Booster, with Strong *, Can Cover The Entire Home, Compatible with Smart Tvs, Game Consoles, Phones, Tablets, And Smart *</v>
      </c>
      <c r="E474">
        <v>6.5</v>
      </c>
      <c r="F474">
        <v>39.99</v>
      </c>
      <c r="G474">
        <v>83.75</v>
      </c>
      <c r="H474">
        <f>IF(E474="","",ROUND(E474*Resumen!$B$3,2))</f>
      </c>
      <c r="I474">
        <v>4.2</v>
      </c>
      <c r="J474">
        <v>6</v>
      </c>
      <c r="K474">
        <v>27</v>
      </c>
      <c r="L474" t="str">
        <v>27 sold</v>
      </c>
      <c r="M474" t="str">
        <v/>
      </c>
      <c r="N474" t="str">
        <v>https://img.kwcdn.com/product/fancy/35412e00-9564-4dc0-95e5-9b1d1d36ffdf.jpg</v>
      </c>
      <c r="O474" t="str">
        <v>https://www.temu.com/goods.html?goods_id=605895664711051</v>
      </c>
    </row>
    <row r="475">
      <c r="A475" t="str">
        <v>TI / Redes</v>
      </c>
      <c r="B475" t="str">
        <v>wifi extender</v>
      </c>
      <c r="C475" t="str">
        <v>607403651211263</v>
      </c>
      <c r="D475" t="str">
        <v>Long-Range Wifi Extender Booster Ethernet Port 1200 * Coverage Supports 55 Devices Easy Setup High-Performance Antenna</v>
      </c>
      <c r="E475">
        <v>25.24</v>
      </c>
      <c r="F475">
        <v>39.18</v>
      </c>
      <c r="G475">
        <v>35.58</v>
      </c>
      <c r="H475">
        <f>IF(E475="","",ROUND(E475*Resumen!$B$3,2))</f>
      </c>
      <c r="K475">
        <v>27</v>
      </c>
      <c r="L475" t="str">
        <v>27 sold</v>
      </c>
      <c r="M475" t="str">
        <v/>
      </c>
      <c r="N475" t="str">
        <v>https://img.kwcdn.com/product/open/1cf808718e5848ecad5130247b346b12-goods.jpeg</v>
      </c>
      <c r="O475" t="str">
        <v>https://www.temu.com/goods.html?goods_id=607403651211263</v>
      </c>
    </row>
    <row r="476">
      <c r="A476" t="str">
        <v>TI / Redes</v>
      </c>
      <c r="B476" t="str">
        <v>wifi extender</v>
      </c>
      <c r="C476" t="str">
        <v>607001534930554</v>
      </c>
      <c r="D476" t="str">
        <v>Long-Range Wifi Extender Booster Ethernet Port 1200 * Coverage Supports 55 Devices Easy Setup High-Performance Antenna</v>
      </c>
      <c r="E476">
        <v>16.23</v>
      </c>
      <c r="F476">
        <v>39.18</v>
      </c>
      <c r="G476">
        <v>58.58</v>
      </c>
      <c r="H476">
        <f>IF(E476="","",ROUND(E476*Resumen!$B$3,2))</f>
      </c>
      <c r="K476">
        <v>25</v>
      </c>
      <c r="L476" t="str">
        <v>25 sold</v>
      </c>
      <c r="M476" t="str">
        <v/>
      </c>
      <c r="N476" t="str">
        <v>https://img.kwcdn.com/product/open/1cf808718e5848ecad5130247b346b12-goods.jpeg</v>
      </c>
      <c r="O476" t="str">
        <v>https://www.temu.com/goods.html?goods_id=607001534930554</v>
      </c>
    </row>
    <row r="477">
      <c r="A477" t="str">
        <v>TI / Redes</v>
      </c>
      <c r="B477" t="str">
        <v>ethernet cable</v>
      </c>
      <c r="C477" t="str">
        <v>607462103080633</v>
      </c>
      <c r="D477" t="str">
        <v>CAT 6 Ethernet Cable 97m / 318.* Indoor * Box 10* * * Bulk CAT6 Cable 1000ft Unshielded Clad (CCA) 23AWG 550MHz 1000ft CAT 6 Cable - Black</v>
      </c>
      <c r="E477">
        <v>42.64</v>
      </c>
      <c r="H477">
        <f>IF(E477="","",ROUND(E477*Resumen!$B$3,2))</f>
      </c>
      <c r="K477">
        <v>25</v>
      </c>
      <c r="L477" t="str">
        <v>25 sold</v>
      </c>
      <c r="M477" t="str">
        <v/>
      </c>
      <c r="N477" t="str">
        <v>https://img.kwcdn.com/product/fancy/757c69d3-2e63-40ec-84f0-5bda50dde0b1.jpg</v>
      </c>
      <c r="O477" t="str">
        <v>https://www.temu.com/goods.html?goods_id=607462103080633</v>
      </c>
    </row>
    <row r="478">
      <c r="A478" t="str">
        <v>TI / Redes</v>
      </c>
      <c r="B478" t="str">
        <v>wifi extender</v>
      </c>
      <c r="C478" t="str">
        <v>605622263229376</v>
      </c>
      <c r="D478" t="str">
        <v>Home Wifi * Extender * Enhancer, 1700Mbps, Dual Band 5Ghz/2.4Ghz, 1500 * Wide Area Coverage, Ethernet Port *, Supports 30+Devices, Easy Setup</v>
      </c>
      <c r="E478">
        <v>8.34</v>
      </c>
      <c r="F478">
        <v>11.94</v>
      </c>
      <c r="G478">
        <v>30.15</v>
      </c>
      <c r="H478">
        <f>IF(E478="","",ROUND(E478*Resumen!$B$3,2))</f>
      </c>
      <c r="I478">
        <v>4.5</v>
      </c>
      <c r="J478">
        <v>4</v>
      </c>
      <c r="K478">
        <v>23</v>
      </c>
      <c r="L478" t="str">
        <v>23 sold</v>
      </c>
      <c r="M478" t="str">
        <v/>
      </c>
      <c r="N478" t="str">
        <v>https://img.kwcdn.com/product/fancy/951e387a-ae20-4d10-999c-0ee246207453.jpg</v>
      </c>
      <c r="O478" t="str">
        <v>https://www.temu.com/goods.html?goods_id=605622263229376</v>
      </c>
    </row>
    <row r="479">
      <c r="A479" t="str">
        <v>TI / Redes</v>
      </c>
      <c r="B479" t="str">
        <v>wifi extender</v>
      </c>
      <c r="C479" t="str">
        <v>605850567560638</v>
      </c>
      <c r="D479" t="str">
        <v>WiFi Booster * Booster, 6 * 360 ° Full Coverage WiFi * Extender, Wireless Repeater Supports Multiple Device Connections, Coverage Area Up to 1000 *, One Click Setup, Indoor WiFi Amplifier with Ethernet Port</v>
      </c>
      <c r="E479">
        <v>11.42</v>
      </c>
      <c r="F479">
        <v>16.99</v>
      </c>
      <c r="G479">
        <v>32.78</v>
      </c>
      <c r="H479">
        <f>IF(E479="","",ROUND(E479*Resumen!$B$3,2))</f>
      </c>
      <c r="I479">
        <v>4.6</v>
      </c>
      <c r="J479">
        <v>5</v>
      </c>
      <c r="K479">
        <v>23</v>
      </c>
      <c r="L479" t="str">
        <v>23 sold</v>
      </c>
      <c r="M479" t="str">
        <v/>
      </c>
      <c r="N479" t="str">
        <v>https://img.kwcdn.com/product/fancy/77aeb0b1-9c51-479c-b20a-b9572bddd23b.jpg</v>
      </c>
      <c r="O479" t="str">
        <v>https://www.temu.com/goods.html?goods_id=605850567560638</v>
      </c>
    </row>
    <row r="480">
      <c r="A480" t="str">
        <v>TI / Redes</v>
      </c>
      <c r="B480" t="str">
        <v>wifi extender</v>
      </c>
      <c r="C480" t="str">
        <v>607205478789858</v>
      </c>
      <c r="D480" t="str">
        <v>WiFi Extender, 2026 Fastest WiFi Booster Dual Band (5GHz/2.4GHz) WiFi Extenders * Booster for Home, WiFi Repeater with Ethernet Port Covers up to 10000sq. Ft and 85+ Devices</v>
      </c>
      <c r="E480">
        <v>12.84</v>
      </c>
      <c r="F480">
        <v>24.24</v>
      </c>
      <c r="G480">
        <v>47.03</v>
      </c>
      <c r="H480">
        <f>IF(E480="","",ROUND(E480*Resumen!$B$3,2))</f>
      </c>
      <c r="I480">
        <v>5</v>
      </c>
      <c r="J480">
        <v>4</v>
      </c>
      <c r="K480">
        <v>23</v>
      </c>
      <c r="L480" t="str">
        <v>23 sold</v>
      </c>
      <c r="M480" t="str">
        <v/>
      </c>
      <c r="N480" t="str">
        <v>https://img.kwcdn.com/product/fancy/696de9c6-7efd-4b56-8a6d-9b213f916785.jpg</v>
      </c>
      <c r="O480" t="str">
        <v>https://www.temu.com/goods.html?goods_id=607205478789858</v>
      </c>
    </row>
    <row r="481">
      <c r="A481" t="str">
        <v>TI / Redes</v>
      </c>
      <c r="B481" t="str">
        <v>wifi extender</v>
      </c>
      <c r="C481" t="str">
        <v>606011578530972</v>
      </c>
      <c r="D481" t="str">
        <v>WiFi 6 * Booster and Mesh Network Extender - Dual-band 2.4GHz/5GHz, 6-antenna * Wi-*, * Control for Easy Setup, Whole-home Coverage, Compatible with Smart TVs, Game Consoles, Smartphones, Tablets, and Smart *</v>
      </c>
      <c r="E481">
        <v>24.49</v>
      </c>
      <c r="F481">
        <v>99.99</v>
      </c>
      <c r="G481">
        <v>75.51</v>
      </c>
      <c r="H481">
        <f>IF(E481="","",ROUND(E481*Resumen!$B$3,2))</f>
      </c>
      <c r="I481">
        <v>4.6</v>
      </c>
      <c r="J481">
        <v>5</v>
      </c>
      <c r="K481">
        <v>22</v>
      </c>
      <c r="L481" t="str">
        <v>22 sold</v>
      </c>
      <c r="M481" t="str">
        <v/>
      </c>
      <c r="N481" t="str">
        <v>https://img.kwcdn.com/product/open/dfac259c1c7e41678ab8f31fb81a6155-goods.jpeg</v>
      </c>
      <c r="O481" t="str">
        <v>https://www.temu.com/goods.html?goods_id=606011578530972</v>
      </c>
    </row>
    <row r="482">
      <c r="A482" t="str">
        <v>TI / Redes</v>
      </c>
      <c r="B482" t="str">
        <v>wifi extender</v>
      </c>
      <c r="C482" t="str">
        <v>605582014645430</v>
      </c>
      <c r="D482" t="str">
        <v>Wifi Extender, High-Quality Wireless Internet Wifi Repeater/Router/Ap * Booster, Covers Up to 1200 *, Anti-Interference Wifi Extender, Practical Internet Extender, Ideal Christmas Gift</v>
      </c>
      <c r="E482">
        <v>14.75</v>
      </c>
      <c r="F482">
        <v>99.99</v>
      </c>
      <c r="G482">
        <v>85.25</v>
      </c>
      <c r="H482">
        <f>IF(E482="","",ROUND(E482*Resumen!$B$3,2))</f>
      </c>
      <c r="I482">
        <v>4.2</v>
      </c>
      <c r="J482">
        <v>5</v>
      </c>
      <c r="K482">
        <v>21</v>
      </c>
      <c r="L482" t="str">
        <v>21 sold</v>
      </c>
      <c r="M482" t="str">
        <v/>
      </c>
      <c r="N482" t="str">
        <v>https://img.kwcdn.com/product/open/45000da10f0f44a18206e0cce0e0e3c3-goods.jpeg</v>
      </c>
      <c r="O482" t="str">
        <v>https://www.temu.com/goods.html?goods_id=605582014645430</v>
      </c>
    </row>
    <row r="483">
      <c r="A483" t="str">
        <v>TI / Redes</v>
      </c>
      <c r="B483" t="str">
        <v>ethernet cable</v>
      </c>
      <c r="C483" t="str">
        <v>601103965999838</v>
      </c>
      <c r="D483" t="str">
        <v>* Ethernet Cable, 3ft-30ft, *, High Speed Internet Cable 40* 2000Mhz, Shielded Direct * RJ45 Network Cable, *</v>
      </c>
      <c r="E483">
        <v>10.01</v>
      </c>
      <c r="F483">
        <v>24.24</v>
      </c>
      <c r="G483">
        <v>58.7</v>
      </c>
      <c r="H483">
        <f>IF(E483="","",ROUND(E483*Resumen!$B$3,2))</f>
      </c>
      <c r="I483">
        <v>5</v>
      </c>
      <c r="J483">
        <v>2</v>
      </c>
      <c r="K483">
        <v>20</v>
      </c>
      <c r="L483" t="str">
        <v>20 sold</v>
      </c>
      <c r="M483" t="str">
        <v/>
      </c>
      <c r="N483" t="str">
        <v>https://img.kwcdn.com/product/open/52d27c632ede4b279606603aaffff812-goods.jpeg</v>
      </c>
      <c r="O483" t="str">
        <v>https://www.temu.com/goods.html?goods_id=601103965999838</v>
      </c>
    </row>
    <row r="484">
      <c r="A484" t="str">
        <v>TI / Redes</v>
      </c>
      <c r="B484" t="str">
        <v>ethernet cable</v>
      </c>
      <c r="C484" t="str">
        <v>601104236759137</v>
      </c>
      <c r="D484" t="str">
        <v>* Ethernet Cable, *, High Speed Internet Cable 40* 2000Mhz, Shielded Direct * RJ45 Network Cable, 3ft/ 6ft/ 10ft/ 30ft</v>
      </c>
      <c r="E484">
        <v>4.77</v>
      </c>
      <c r="F484">
        <v>24.24</v>
      </c>
      <c r="G484">
        <v>80.32</v>
      </c>
      <c r="H484">
        <f>IF(E484="","",ROUND(E484*Resumen!$B$3,2))</f>
      </c>
      <c r="I484">
        <v>5</v>
      </c>
      <c r="J484">
        <v>1</v>
      </c>
      <c r="K484">
        <v>20</v>
      </c>
      <c r="L484" t="str">
        <v>20 sold</v>
      </c>
      <c r="M484" t="str">
        <v/>
      </c>
      <c r="N484" t="str">
        <v>https://img.kwcdn.com/product/open/072082bdee2646038011a181f6f81741-goods.jpeg</v>
      </c>
      <c r="O484" t="str">
        <v>https://www.temu.com/goods.html?goods_id=601104236759137</v>
      </c>
    </row>
    <row r="485">
      <c r="A485" t="str">
        <v>TI / Redes</v>
      </c>
      <c r="B485" t="str">
        <v>wifi extender</v>
      </c>
      <c r="C485" t="str">
        <v>603274174390404</v>
      </c>
      <c r="D485" t="str">
        <v>Certified Refurbished * WiFi 6 * (*) - Covers up to 4000 *. Replaces Wireless Internet Routers and Extenders, 2-Pack (*)</v>
      </c>
      <c r="E485">
        <v>71.7</v>
      </c>
      <c r="F485">
        <v>129.99</v>
      </c>
      <c r="G485">
        <v>44.84</v>
      </c>
      <c r="H485">
        <f>IF(E485="","",ROUND(E485*Resumen!$B$3,2))</f>
      </c>
      <c r="I485">
        <v>5</v>
      </c>
      <c r="J485">
        <v>2</v>
      </c>
      <c r="K485">
        <v>20</v>
      </c>
      <c r="L485" t="str">
        <v>20 sold</v>
      </c>
      <c r="M485" t="str">
        <v/>
      </c>
      <c r="N485" t="str">
        <v>https://img.kwcdn.com/local-goods-image/20fd758b/98307a10-a301-492f-9941-34c5c71c1590.jpg</v>
      </c>
      <c r="O485" t="str">
        <v>https://www.temu.com/goods.html?goods_id=603274174390404</v>
      </c>
    </row>
    <row r="486">
      <c r="A486" t="str">
        <v>TI / Redes</v>
      </c>
      <c r="B486" t="str">
        <v>wifi router</v>
      </c>
      <c r="C486" t="str">
        <v>607543506133782</v>
      </c>
      <c r="D486" t="str">
        <v>1 Set of Wall-Mounted Router and WiFi Organizer - Cable Management Rack Suitable for Modems, Set-Top Boxes, and TV Accessories | Space-Saving Decorative Organizer with Ventilation Design | Drill-Free Installation for a Tidy Home and Office</v>
      </c>
      <c r="E486">
        <v>13.61</v>
      </c>
      <c r="F486">
        <v>27.39</v>
      </c>
      <c r="G486">
        <v>50.31</v>
      </c>
      <c r="H486">
        <f>IF(E486="","",ROUND(E486*Resumen!$B$3,2))</f>
      </c>
      <c r="K486">
        <v>20</v>
      </c>
      <c r="L486" t="str">
        <v>20</v>
      </c>
      <c r="M486" t="str">
        <v/>
      </c>
      <c r="N486" t="str">
        <v>https://img.kwcdn.com/product/open/54143b5f18a84dbbbec39e8b809ae43f-goods.jpeg</v>
      </c>
      <c r="O486" t="str">
        <v>https://www.temu.com/goods.html?goods_id=607543506133782</v>
      </c>
    </row>
    <row r="487">
      <c r="A487" t="str">
        <v>TI / Redes</v>
      </c>
      <c r="B487" t="str">
        <v>wifi extender</v>
      </c>
      <c r="C487" t="str">
        <v>606188796262404</v>
      </c>
      <c r="D487" t="str">
        <v>4-Antenna Wifi Range Extender, * Wireless * * with Ethernet Port, Plug And Play, Up to 6500 * of Wide Coverage Wireless Internet Amplifier, Suitable for Home, Office, *, 4K *</v>
      </c>
      <c r="E487">
        <v>6.52</v>
      </c>
      <c r="F487">
        <v>49.99</v>
      </c>
      <c r="G487">
        <v>86.96</v>
      </c>
      <c r="H487">
        <f>IF(E487="","",ROUND(E487*Resumen!$B$3,2))</f>
      </c>
      <c r="I487">
        <v>5</v>
      </c>
      <c r="J487">
        <v>3</v>
      </c>
      <c r="K487">
        <v>19</v>
      </c>
      <c r="L487" t="str">
        <v>19 sold</v>
      </c>
      <c r="M487" t="str">
        <v/>
      </c>
      <c r="N487" t="str">
        <v>https://img.kwcdn.com/product/algo_check/auto/d069f6d370a5b69b6b1151e2835ce68d_1778306859778.jpg</v>
      </c>
      <c r="O487" t="str">
        <v>https://www.temu.com/goods.html?goods_id=606188796262404</v>
      </c>
    </row>
    <row r="488">
      <c r="A488" t="str">
        <v>TI / Redes</v>
      </c>
      <c r="B488" t="str">
        <v>wifi extender</v>
      </c>
      <c r="C488" t="str">
        <v>606927178325059</v>
      </c>
      <c r="D488" t="str">
        <v>Wifi * Repeater And Range Extender 1400Mbps, 2.4Ghz Wireless Amplifier with 4 High-* *, 360° Full Area Coverage Up to 10000 *, Ethernet Port for Home, Coffee Shop, Office</v>
      </c>
      <c r="E488">
        <v>7.17</v>
      </c>
      <c r="F488">
        <v>49.99</v>
      </c>
      <c r="G488">
        <v>85.66</v>
      </c>
      <c r="H488">
        <f>IF(E488="","",ROUND(E488*Resumen!$B$3,2))</f>
      </c>
      <c r="K488">
        <v>19</v>
      </c>
      <c r="L488" t="str">
        <v>19 sold</v>
      </c>
      <c r="M488" t="str">
        <v/>
      </c>
      <c r="N488" t="str">
        <v>https://img.kwcdn.com/product/fancy/1bb1d622-7bb0-472a-894e-e2908ccc3f74.jpg</v>
      </c>
      <c r="O488" t="str">
        <v>https://www.temu.com/goods.html?goods_id=606927178325059</v>
      </c>
    </row>
    <row r="489">
      <c r="A489" t="str">
        <v>TI / Redes</v>
      </c>
      <c r="B489" t="str">
        <v>ethernet cable</v>
      </c>
      <c r="C489" t="str">
        <v>602447636459536</v>
      </c>
      <c r="D489" t="str">
        <v>Cat 8 Ethernet Cable 40* RJ45 LAN Patch Cord Gold Plated High * *</v>
      </c>
      <c r="E489">
        <v>40.49</v>
      </c>
      <c r="F489">
        <v>91.99</v>
      </c>
      <c r="G489">
        <v>55.98</v>
      </c>
      <c r="H489">
        <f>IF(E489="","",ROUND(E489*Resumen!$B$3,2))</f>
      </c>
      <c r="I489">
        <v>5</v>
      </c>
      <c r="J489">
        <v>3</v>
      </c>
      <c r="K489">
        <v>18</v>
      </c>
      <c r="L489" t="str">
        <v>18 sold</v>
      </c>
      <c r="M489" t="str">
        <v/>
      </c>
      <c r="N489" t="str">
        <v>https://img.kwcdn.com/local-goods-image/21137b26a14/4a03f88e-8623-435f-9137-c3feb216db13_1600x1600.jpeg.format.jpg</v>
      </c>
      <c r="O489" t="str">
        <v>https://www.temu.com/goods.html?goods_id=602447636459536</v>
      </c>
    </row>
    <row r="490">
      <c r="A490" t="str">
        <v>TI / Redes</v>
      </c>
      <c r="B490" t="str">
        <v>ethernet cable</v>
      </c>
      <c r="C490" t="str">
        <v>601101809057839</v>
      </c>
      <c r="D490" t="str">
        <v>Ethernet Cable *, Round cable, 40* 2000Mhz RJ45 Connector, Heavy Duty Direct High Speed, * LAN Network Cable, *</v>
      </c>
      <c r="E490">
        <v>9.75</v>
      </c>
      <c r="F490">
        <v>28.22</v>
      </c>
      <c r="G490">
        <v>65.45</v>
      </c>
      <c r="H490">
        <f>IF(E490="","",ROUND(E490*Resumen!$B$3,2))</f>
      </c>
      <c r="I490">
        <v>4.5</v>
      </c>
      <c r="J490">
        <v>2</v>
      </c>
      <c r="K490">
        <v>17</v>
      </c>
      <c r="L490" t="str">
        <v>17 sold</v>
      </c>
      <c r="M490" t="str">
        <v/>
      </c>
      <c r="N490" t="str">
        <v>https://img.kwcdn.com/product/open/9810e933517e47b792b521fbd518f707-goods.jpeg</v>
      </c>
      <c r="O490" t="str">
        <v>https://www.temu.com/goods.html?goods_id=601101809057839</v>
      </c>
    </row>
    <row r="491">
      <c r="A491" t="str">
        <v>TI / Redes</v>
      </c>
      <c r="B491" t="str">
        <v>ethernet cable</v>
      </c>
      <c r="C491" t="str">
        <v>602444541074535</v>
      </c>
      <c r="D491" t="str">
        <v>* Cat 6 Ethernet Cable Long Computer Internet Cables WiFi RJ45 Cord for Gaming</v>
      </c>
      <c r="E491">
        <v>1.72</v>
      </c>
      <c r="F491">
        <v>15</v>
      </c>
      <c r="G491">
        <v>88.53</v>
      </c>
      <c r="H491">
        <f>IF(E491="","",ROUND(E491*Resumen!$B$3,2))</f>
      </c>
      <c r="I491">
        <v>5</v>
      </c>
      <c r="J491">
        <v>2</v>
      </c>
      <c r="K491">
        <v>17</v>
      </c>
      <c r="L491" t="str">
        <v>17 sold</v>
      </c>
      <c r="M491" t="str">
        <v/>
      </c>
      <c r="N491" t="str">
        <v>https://img.kwcdn.com/local-goods-image/20150c21324/af4cdec7-6491-4152-9dea-1ed8de096733_2000x2000.jpeg.format.jpg</v>
      </c>
      <c r="O491" t="str">
        <v>https://www.temu.com/goods.html?goods_id=602444541074535</v>
      </c>
    </row>
    <row r="492">
      <c r="A492" t="str">
        <v>TI / Redes</v>
      </c>
      <c r="B492" t="str">
        <v>wifi extender</v>
      </c>
      <c r="C492" t="str">
        <v>606386582829319</v>
      </c>
      <c r="D492" t="str">
        <v>WiFi Extender * Booster, Covers Up to 5000 Sq Ft and 52 Devices, WiFi Range Extender, Wireless Internet Repeater, Remote Amplifier with Ethernet Port, * Setup, *, Alexa Compatible (6-Antenna Black Repeater)</v>
      </c>
      <c r="E492">
        <v>29.99</v>
      </c>
      <c r="F492">
        <v>99.99</v>
      </c>
      <c r="G492">
        <v>70.01</v>
      </c>
      <c r="H492">
        <f>IF(E492="","",ROUND(E492*Resumen!$B$3,2))</f>
      </c>
      <c r="I492">
        <v>5</v>
      </c>
      <c r="J492">
        <v>2</v>
      </c>
      <c r="K492">
        <v>17</v>
      </c>
      <c r="L492" t="str">
        <v>17 sold</v>
      </c>
      <c r="M492" t="str">
        <v/>
      </c>
      <c r="N492" t="str">
        <v>https://img.kwcdn.com/product/open/a6528a365a0547fcb455be40716e5982-goods.jpeg</v>
      </c>
      <c r="O492" t="str">
        <v>https://www.temu.com/goods.html?goods_id=606386582829319</v>
      </c>
    </row>
    <row r="493">
      <c r="A493" t="str">
        <v>TI / Redes</v>
      </c>
      <c r="B493" t="str">
        <v>wifi extender</v>
      </c>
      <c r="C493" t="str">
        <v>603163822245365</v>
      </c>
      <c r="D493" t="str">
        <v>* EXS27-100NAR BE5000 WiFi 7 Dual-Band Range Extender, Up to 5 * Speed, Covers 1500 *. and 45 Devices - Certified Refurbished</v>
      </c>
      <c r="E493">
        <v>86.81</v>
      </c>
      <c r="F493">
        <v>199.99</v>
      </c>
      <c r="G493">
        <v>56.59</v>
      </c>
      <c r="H493">
        <f>IF(E493="","",ROUND(E493*Resumen!$B$3,2))</f>
      </c>
      <c r="I493">
        <v>5</v>
      </c>
      <c r="J493">
        <v>1</v>
      </c>
      <c r="K493">
        <v>16</v>
      </c>
      <c r="L493" t="str">
        <v>16 sold</v>
      </c>
      <c r="M493" t="str">
        <v/>
      </c>
      <c r="N493" t="str">
        <v>https://img.kwcdn.com/local-goods-image/7033f677/9c65695b-6b57-4437-914b-0ff51d41265c.jpeg</v>
      </c>
      <c r="O493" t="str">
        <v>https://www.temu.com/goods.html?goods_id=603163822245365</v>
      </c>
    </row>
    <row r="494">
      <c r="A494" t="str">
        <v>TI / Redes</v>
      </c>
      <c r="B494" t="str">
        <v>wifi extender</v>
      </c>
      <c r="C494" t="str">
        <v>605614210145010</v>
      </c>
      <c r="D494" t="str">
        <v>WiFi * Amplifier 1300Mbps, 2.4GHz WiFi Range Extender with Ethernet Port, 6-Antenna Wide Coverage, Stable * WiFi Extender, Suitable for Home * Devices</v>
      </c>
      <c r="E494">
        <v>10.59</v>
      </c>
      <c r="F494">
        <v>39.99</v>
      </c>
      <c r="G494">
        <v>73.52</v>
      </c>
      <c r="H494">
        <f>IF(E494="","",ROUND(E494*Resumen!$B$3,2))</f>
      </c>
      <c r="I494">
        <v>5</v>
      </c>
      <c r="J494">
        <v>3</v>
      </c>
      <c r="K494">
        <v>16</v>
      </c>
      <c r="L494" t="str">
        <v>16 sold</v>
      </c>
      <c r="M494" t="str">
        <v/>
      </c>
      <c r="N494" t="str">
        <v>https://img.kwcdn.com/product/fancy/1a9272a5-93d4-4e6a-a2c1-05a1677b6002.jpg</v>
      </c>
      <c r="O494" t="str">
        <v>https://www.temu.com/goods.html?goods_id=605614210145010</v>
      </c>
    </row>
    <row r="495">
      <c r="A495" t="str">
        <v>TI / Redes</v>
      </c>
      <c r="B495" t="str">
        <v>ethernet cable</v>
      </c>
      <c r="C495" t="str">
        <v>605790236728172</v>
      </c>
      <c r="D495" t="str">
        <v>Cat6 Ethernet Cable, 3Ft/50Ft/75Ft/100Ft *, 10*/500Hz, RJ45 Internet LAN Computer Patch for Router, Modem, Switch, Gaming Consoles, Streaming Devices, Black And White</v>
      </c>
      <c r="E495">
        <v>2.09</v>
      </c>
      <c r="F495">
        <v>25.87</v>
      </c>
      <c r="G495">
        <v>91.92</v>
      </c>
      <c r="H495">
        <f>IF(E495="","",ROUND(E495*Resumen!$B$3,2))</f>
      </c>
      <c r="K495">
        <v>16</v>
      </c>
      <c r="L495" t="str">
        <v>16 sold</v>
      </c>
      <c r="M495" t="str">
        <v/>
      </c>
      <c r="N495" t="str">
        <v>https://img.kwcdn.com/product/open/ba3ee1d00d4640a59276657b476319e0-goods.jpeg</v>
      </c>
      <c r="O495" t="str">
        <v>https://www.temu.com/goods.html?goods_id=605790236728172</v>
      </c>
    </row>
    <row r="496">
      <c r="A496" t="str">
        <v>TI / Redes</v>
      </c>
      <c r="B496" t="str">
        <v>wifi extender</v>
      </c>
      <c r="C496" t="str">
        <v>606342341311508</v>
      </c>
      <c r="D496" t="str">
        <v>6-Antenna Wifi Range Extender, 1600Mbps * Wireless Repeater with Ethernet Port, Plug And Play, Easy to Set Up, Up to 5500 * of Wide Coverage Wireless Internet Amplifier, Suitable for Home, Office, *, 4K *</v>
      </c>
      <c r="E496">
        <v>10.17</v>
      </c>
      <c r="F496">
        <v>13.29</v>
      </c>
      <c r="G496">
        <v>23.48</v>
      </c>
      <c r="H496">
        <f>IF(E496="","",ROUND(E496*Resumen!$B$3,2))</f>
      </c>
      <c r="I496">
        <v>5</v>
      </c>
      <c r="J496">
        <v>2</v>
      </c>
      <c r="K496">
        <v>16</v>
      </c>
      <c r="L496" t="str">
        <v>16 sold</v>
      </c>
      <c r="M496" t="str">
        <v/>
      </c>
      <c r="N496" t="str">
        <v>https://img.kwcdn.com/product/fancy/ff845505-f3b6-4631-9163-fe4c46137b08.jpg</v>
      </c>
      <c r="O496" t="str">
        <v>https://www.temu.com/goods.html?goods_id=606342341311508</v>
      </c>
    </row>
    <row r="497">
      <c r="A497" t="str">
        <v>TI / Redes</v>
      </c>
      <c r="B497" t="str">
        <v>ethernet cable</v>
      </c>
      <c r="C497" t="str">
        <v>606425690567746</v>
      </c>
      <c r="D497" t="str">
        <v>Black *8 Ethernet Cable,High Speed 40* 2000MHz Internet Network LAN Cable with Gold Plated RJ45 Connector, Shielded Patch Cord for Router, Modem, PC, Laptop, PS4/5, *</v>
      </c>
      <c r="E497">
        <v>4.71</v>
      </c>
      <c r="F497">
        <v>37.52</v>
      </c>
      <c r="G497">
        <v>87.45</v>
      </c>
      <c r="H497">
        <f>IF(E497="","",ROUND(E497*Resumen!$B$3,2))</f>
      </c>
      <c r="K497">
        <v>16</v>
      </c>
      <c r="L497" t="str">
        <v>16 sold</v>
      </c>
      <c r="M497" t="str">
        <v/>
      </c>
      <c r="N497" t="str">
        <v>https://img.kwcdn.com/product/fancy/d7a44ada-70fe-4fff-8ea7-82d6648fb56e.jpg</v>
      </c>
      <c r="O497" t="str">
        <v>https://www.temu.com/goods.html?goods_id=606425690567746</v>
      </c>
    </row>
    <row r="498">
      <c r="A498" t="str">
        <v>TI / Redes</v>
      </c>
      <c r="B498" t="str">
        <v>wifi extender</v>
      </c>
      <c r="C498" t="str">
        <v>606731220389646</v>
      </c>
      <c r="D498" t="str">
        <v>1800Mbps Wifi Range Extender, 4-Antenna Wireless * Booster And Repeater, Wide Coverage Stable Wifi Amplifier, Compact Internet Booster for Home, Office, And Smart for *</v>
      </c>
      <c r="E498">
        <v>7.51</v>
      </c>
      <c r="F498">
        <v>29.99</v>
      </c>
      <c r="G498">
        <v>74.96</v>
      </c>
      <c r="H498">
        <f>IF(E498="","",ROUND(E498*Resumen!$B$3,2))</f>
      </c>
      <c r="K498">
        <v>16</v>
      </c>
      <c r="L498" t="str">
        <v>16 sold</v>
      </c>
      <c r="M498" t="str">
        <v/>
      </c>
      <c r="N498" t="str">
        <v>https://img.kwcdn.com/product/open/f5d51e0bf970479b8dd569062fefa8b2-goods.jpeg</v>
      </c>
      <c r="O498" t="str">
        <v>https://www.temu.com/goods.html?goods_id=606731220389646</v>
      </c>
    </row>
    <row r="499">
      <c r="A499" t="str">
        <v>TI / Redes</v>
      </c>
      <c r="B499" t="str">
        <v>wifi router</v>
      </c>
      <c r="C499" t="str">
        <v>606631362419768</v>
      </c>
      <c r="D499" t="str">
        <v>Wall Mounted Router Storage Box, White WiFi Modem Cable Organizer, Hiding Bracket for Fiber Optic Modem, Power Socket &amp; Wire Management for Living Room, Floating Shelves</v>
      </c>
      <c r="E499">
        <v>13.29</v>
      </c>
      <c r="F499">
        <v>16.04</v>
      </c>
      <c r="G499">
        <v>17.14</v>
      </c>
      <c r="H499">
        <f>IF(E499="","",ROUND(E499*Resumen!$B$3,2))</f>
      </c>
      <c r="K499">
        <v>15</v>
      </c>
      <c r="L499" t="str">
        <v>15</v>
      </c>
      <c r="M499" t="str">
        <v/>
      </c>
      <c r="N499" t="str">
        <v>https://img.kwcdn.com/product/fancy/c600b0e5-5e42-4d89-96d3-9024f17860df.jpg</v>
      </c>
      <c r="O499" t="str">
        <v>https://www.temu.com/goods.html?goods_id=606631362419768</v>
      </c>
    </row>
    <row r="500">
      <c r="A500" t="str">
        <v>TI / Redes</v>
      </c>
      <c r="B500" t="str">
        <v>ethernet cable</v>
      </c>
      <c r="C500" t="str">
        <v>601101663252946</v>
      </c>
      <c r="D500" t="str">
        <v>* Ethernet Cable, Flat High Speed Internet Cable 40* 2000Mhz, Shielded Direct * RJ45 Network Cable, 50ft-100ft, *</v>
      </c>
      <c r="E500">
        <v>22.65</v>
      </c>
      <c r="F500">
        <v>35.99</v>
      </c>
      <c r="G500">
        <v>37.07</v>
      </c>
      <c r="H500">
        <f>IF(E500="","",ROUND(E500*Resumen!$B$3,2))</f>
      </c>
      <c r="I500">
        <v>5</v>
      </c>
      <c r="J500">
        <v>1</v>
      </c>
      <c r="K500">
        <v>14</v>
      </c>
      <c r="L500" t="str">
        <v>14 sold</v>
      </c>
      <c r="M500" t="str">
        <v/>
      </c>
      <c r="N500" t="str">
        <v>https://img.kwcdn.com/product/open/cece03f976ae45f396ecfd6f017a9616-goods.jpeg</v>
      </c>
      <c r="O500" t="str">
        <v>https://www.temu.com/goods.html?goods_id=601101663252946</v>
      </c>
    </row>
    <row r="501">
      <c r="A501" t="str">
        <v>TI / Redes</v>
      </c>
      <c r="B501" t="str">
        <v>wifi extender</v>
      </c>
      <c r="C501" t="str">
        <v>606464479472425</v>
      </c>
      <c r="D501" t="str">
        <v>Outdoor WiFi Extender * Booster - Solar-Powered WiFi Repeater with Long Range | Wi-Fi * for Villa, *, Yards, RVs &amp; Campsites</v>
      </c>
      <c r="E501">
        <v>94.98</v>
      </c>
      <c r="F501">
        <v>118.49</v>
      </c>
      <c r="G501">
        <v>19.84</v>
      </c>
      <c r="H501">
        <f>IF(E501="","",ROUND(E501*Resumen!$B$3,2))</f>
      </c>
      <c r="I501">
        <v>3</v>
      </c>
      <c r="J501">
        <v>2</v>
      </c>
      <c r="K501">
        <v>14</v>
      </c>
      <c r="L501" t="str">
        <v>14 sold</v>
      </c>
      <c r="M501" t="str">
        <v/>
      </c>
      <c r="N501" t="str">
        <v>https://img.kwcdn.com/product/fancy/3f9bde22-ade7-4f17-816f-03de149ed735.jpg</v>
      </c>
      <c r="O501" t="str">
        <v>https://www.temu.com/goods.html?goods_id=606464479472425</v>
      </c>
    </row>
    <row r="502">
      <c r="A502" t="str">
        <v>TI / Redes</v>
      </c>
      <c r="B502" t="str">
        <v>wifi extender</v>
      </c>
      <c r="C502" t="str">
        <v>606926775657464</v>
      </c>
      <c r="D502" t="str">
        <v>Dual Band Wifi Repeater, 2.4Ghz &amp; 5Ghz Wireless Range Extender with High-* *, Strong Through-Wall *, * Home Coverage, Stable Multi-Device Connection, Easy Setup</v>
      </c>
      <c r="E502">
        <v>14.52</v>
      </c>
      <c r="F502">
        <v>29.99</v>
      </c>
      <c r="G502">
        <v>51.58</v>
      </c>
      <c r="H502">
        <f>IF(E502="","",ROUND(E502*Resumen!$B$3,2))</f>
      </c>
      <c r="K502">
        <v>14</v>
      </c>
      <c r="L502" t="str">
        <v>14 sold</v>
      </c>
      <c r="M502" t="str">
        <v/>
      </c>
      <c r="N502" t="str">
        <v>https://img.kwcdn.com/product/open/88af4cd70e4a476dad44f3e14f8f9fba-goods.jpeg</v>
      </c>
      <c r="O502" t="str">
        <v>https://www.temu.com/goods.html?goods_id=606926775657464</v>
      </c>
    </row>
    <row r="503">
      <c r="A503" t="str">
        <v>TI / Redes</v>
      </c>
      <c r="B503" t="str">
        <v>ethernet cable</v>
      </c>
      <c r="C503" t="str">
        <v>601103676362533</v>
      </c>
      <c r="D503" t="str">
        <v>100-* Round * Ethernet Cable, Suitable for * Outdoor And Indoor Use, Offering * Performance of 40* And 2000Mhz, Compatible with *, Cat6, And *</v>
      </c>
      <c r="E503">
        <v>13.48</v>
      </c>
      <c r="F503">
        <v>23.45</v>
      </c>
      <c r="G503">
        <v>42.52</v>
      </c>
      <c r="H503">
        <f>IF(E503="","",ROUND(E503*Resumen!$B$3,2))</f>
      </c>
      <c r="I503">
        <v>5</v>
      </c>
      <c r="J503">
        <v>2</v>
      </c>
      <c r="K503">
        <v>13</v>
      </c>
      <c r="L503" t="str">
        <v>13 sold</v>
      </c>
      <c r="M503" t="str">
        <v/>
      </c>
      <c r="N503" t="str">
        <v>https://img.kwcdn.com/product/open/be2efcce167546b8bbdd08a92be9f7c9-goods.jpeg</v>
      </c>
      <c r="O503" t="str">
        <v>https://www.temu.com/goods.html?goods_id=601103676362533</v>
      </c>
    </row>
    <row r="504">
      <c r="A504" t="str">
        <v>TI / Redes</v>
      </c>
      <c r="B504" t="str">
        <v>wifi extender</v>
      </c>
      <c r="C504" t="str">
        <v>605534568699281</v>
      </c>
      <c r="D504" t="str">
        <v>Wifi * Extender - Covers Up to 1500 * and Supports Multiple Devices - 1200 Mbps Dual-Band Wireless * Booster and Repeater Up to 12 * Speed Compact Wall-Plug Design - Perfect As A Christmas Gift for Family and Friend</v>
      </c>
      <c r="E504">
        <v>19.45</v>
      </c>
      <c r="F504">
        <v>20.76</v>
      </c>
      <c r="G504">
        <v>6.31</v>
      </c>
      <c r="H504">
        <f>IF(E504="","",ROUND(E504*Resumen!$B$3,2))</f>
      </c>
      <c r="I504">
        <v>4.5</v>
      </c>
      <c r="J504">
        <v>2</v>
      </c>
      <c r="K504">
        <v>13</v>
      </c>
      <c r="L504" t="str">
        <v>13 sold</v>
      </c>
      <c r="M504" t="str">
        <v/>
      </c>
      <c r="N504" t="str">
        <v>https://img.kwcdn.com/product/fancy/a1f25c1d-0e5d-4a29-bbc9-182a95c21b91.jpg</v>
      </c>
      <c r="O504" t="str">
        <v>https://www.temu.com/goods.html?goods_id=605534568699281</v>
      </c>
    </row>
    <row r="505">
      <c r="A505" t="str">
        <v>TI / Redes</v>
      </c>
      <c r="B505" t="str">
        <v>ethernet cable</v>
      </c>
      <c r="C505" t="str">
        <v>605996680331248</v>
      </c>
      <c r="D505" t="str">
        <v>Heavy-Duty Cat 8 Ethernet Cable * in Lengths of 3.3Ft, 6.6Ft, 10Ft, 16Ft, And 32Ft, Designed for * Internet with a Capacity of 40* And 2000Mhz</v>
      </c>
      <c r="E505">
        <v>5.71</v>
      </c>
      <c r="F505">
        <v>49.19</v>
      </c>
      <c r="G505">
        <v>88.39</v>
      </c>
      <c r="H505">
        <f>IF(E505="","",ROUND(E505*Resumen!$B$3,2))</f>
      </c>
      <c r="I505">
        <v>5</v>
      </c>
      <c r="J505">
        <v>4</v>
      </c>
      <c r="K505">
        <v>13</v>
      </c>
      <c r="L505" t="str">
        <v>13 sold</v>
      </c>
      <c r="M505" t="str">
        <v/>
      </c>
      <c r="N505" t="str">
        <v>https://img.kwcdn.com/product/fancy/e3ac2f70-5321-46e7-9688-3a95738ee3fa.jpg</v>
      </c>
      <c r="O505" t="str">
        <v>https://www.temu.com/goods.html?goods_id=605996680331248</v>
      </c>
    </row>
    <row r="506">
      <c r="A506" t="str">
        <v>TI / Redes</v>
      </c>
      <c r="B506" t="str">
        <v>wifi extender</v>
      </c>
      <c r="C506" t="str">
        <v>606133364313927</v>
      </c>
      <c r="D506" t="str">
        <v>* 2026 * WiFi 6 Extender, WiFi Extender * Booster for Home-Dual Band (2.4G/5.8G), WiFi Booster with 10X Faster *, Up to 15888 *.&amp;Support 135+ Smart Devices</v>
      </c>
      <c r="E506">
        <v>56.98</v>
      </c>
      <c r="F506">
        <v>299.99</v>
      </c>
      <c r="G506">
        <v>81.01</v>
      </c>
      <c r="H506">
        <f>IF(E506="","",ROUND(E506*Resumen!$B$3,2))</f>
      </c>
      <c r="I506">
        <v>5</v>
      </c>
      <c r="J506">
        <v>3</v>
      </c>
      <c r="K506">
        <v>13</v>
      </c>
      <c r="L506" t="str">
        <v>13 sold</v>
      </c>
      <c r="M506" t="str">
        <v/>
      </c>
      <c r="N506" t="str">
        <v>https://img.kwcdn.com/product/fancy/4bc67f92-552d-46ee-b20c-575bb63860c5.jpg</v>
      </c>
      <c r="O506" t="str">
        <v>https://www.temu.com/goods.html?goods_id=606133364313927</v>
      </c>
    </row>
    <row r="507">
      <c r="A507" t="str">
        <v>TI / Redes</v>
      </c>
      <c r="B507" t="str">
        <v>wifi extender</v>
      </c>
      <c r="C507" t="str">
        <v>606266508316283</v>
      </c>
      <c r="D507" t="str">
        <v>2026 Wifi Extender * Booster for Home, * Mbps Dual Band (5Ghz/2.4Ghz), Coverage Up to 12880 * And 45 Devices, Easy to Set Repeater Wireless with Ethernet Port</v>
      </c>
      <c r="E507">
        <v>56.98</v>
      </c>
      <c r="F507">
        <v>299.99</v>
      </c>
      <c r="G507">
        <v>81.01</v>
      </c>
      <c r="H507">
        <f>IF(E507="","",ROUND(E507*Resumen!$B$3,2))</f>
      </c>
      <c r="I507">
        <v>3</v>
      </c>
      <c r="J507">
        <v>2</v>
      </c>
      <c r="K507">
        <v>13</v>
      </c>
      <c r="L507" t="str">
        <v>13 sold</v>
      </c>
      <c r="M507" t="str">
        <v/>
      </c>
      <c r="N507" t="str">
        <v>https://img.kwcdn.com/product/open/c494d08c657242e68c2021088451b52d-goods.jpeg</v>
      </c>
      <c r="O507" t="str">
        <v>https://www.temu.com/goods.html?goods_id=606266508316283</v>
      </c>
    </row>
    <row r="508">
      <c r="A508" t="str">
        <v>TI / Redes</v>
      </c>
      <c r="B508" t="str">
        <v>wifi extender</v>
      </c>
      <c r="C508" t="str">
        <v>606583195069516</v>
      </c>
      <c r="D508" t="str">
        <v>Wifi Extender * Booster, Dual Band Wifi 6 Repeater with 1 Ethernet Port, Long Range Internet Booster with *</v>
      </c>
      <c r="E508">
        <v>17.15</v>
      </c>
      <c r="F508">
        <v>39.99</v>
      </c>
      <c r="G508">
        <v>57.11</v>
      </c>
      <c r="H508">
        <f>IF(E508="","",ROUND(E508*Resumen!$B$3,2))</f>
      </c>
      <c r="I508">
        <v>5</v>
      </c>
      <c r="J508">
        <v>2</v>
      </c>
      <c r="K508">
        <v>12</v>
      </c>
      <c r="L508" t="str">
        <v>12 sold</v>
      </c>
      <c r="M508" t="str">
        <v/>
      </c>
      <c r="N508" t="str">
        <v>https://img.kwcdn.com/product/open/e06d6c861407424b844b4c97aafbd41b-goods.jpeg</v>
      </c>
      <c r="O508" t="str">
        <v>https://www.temu.com/goods.html?goods_id=606583195069516</v>
      </c>
    </row>
    <row r="509">
      <c r="A509" t="str">
        <v>TI / Redes</v>
      </c>
      <c r="B509" t="str">
        <v>wifi extender</v>
      </c>
      <c r="C509" t="str">
        <v>606004985071889</v>
      </c>
      <c r="D509" t="str">
        <v>WiFi 6 * Booster, Dual Band WiFi Extender with 6 High-* *, Strong Wall *, * Coverage</v>
      </c>
      <c r="E509">
        <v>10.06</v>
      </c>
      <c r="F509">
        <v>29.99</v>
      </c>
      <c r="G509">
        <v>66.46</v>
      </c>
      <c r="H509">
        <f>IF(E509="","",ROUND(E509*Resumen!$B$3,2))</f>
      </c>
      <c r="I509">
        <v>5</v>
      </c>
      <c r="J509">
        <v>2</v>
      </c>
      <c r="K509">
        <v>11</v>
      </c>
      <c r="L509" t="str">
        <v>11 sold</v>
      </c>
      <c r="M509" t="str">
        <v/>
      </c>
      <c r="N509" t="str">
        <v>https://img.kwcdn.com/product/fancy/dc1713a8-ba9d-4975-bf3f-358de457a575.jpg</v>
      </c>
      <c r="O509" t="str">
        <v>https://www.temu.com/goods.html?goods_id=606004985071889</v>
      </c>
    </row>
    <row r="510">
      <c r="A510" t="str">
        <v>TI / Redes</v>
      </c>
      <c r="B510" t="str">
        <v>ethernet cable</v>
      </c>
      <c r="C510" t="str">
        <v>606181011602424</v>
      </c>
      <c r="D510" t="str">
        <v>* Ethernet Cable, Flat Design, * Cable, 40* 2000Mhz *, Patch Cord with Gold-Plated RJ45 Connector, LAN Network Cable for Router/Gaming/Computer, S/FTP</v>
      </c>
      <c r="E510">
        <v>10.41</v>
      </c>
      <c r="F510">
        <v>22.91</v>
      </c>
      <c r="G510">
        <v>54.56</v>
      </c>
      <c r="H510">
        <f>IF(E510="","",ROUND(E510*Resumen!$B$3,2))</f>
      </c>
      <c r="K510">
        <v>11</v>
      </c>
      <c r="L510" t="str">
        <v>11 sold</v>
      </c>
      <c r="M510" t="str">
        <v/>
      </c>
      <c r="N510" t="str">
        <v>https://img.kwcdn.com/product/open/3408beed42064e728c1e82457f4d3610-goods.jpeg</v>
      </c>
      <c r="O510" t="str">
        <v>https://www.temu.com/goods.html?goods_id=606181011602424</v>
      </c>
    </row>
    <row r="511">
      <c r="A511" t="str">
        <v>TI / Redes</v>
      </c>
      <c r="B511" t="str">
        <v>wifi extender</v>
      </c>
      <c r="C511" t="str">
        <v>606536772480219</v>
      </c>
      <c r="D511" t="str">
        <v>WiFi Extender * Booster, Long Range Wall *, Dual Band 2.4G&amp;5G, Eliminate Dead Zones, *, * Use</v>
      </c>
      <c r="E511">
        <v>24.49</v>
      </c>
      <c r="F511">
        <v>29.02</v>
      </c>
      <c r="G511">
        <v>15.61</v>
      </c>
      <c r="H511">
        <f>IF(E511="","",ROUND(E511*Resumen!$B$3,2))</f>
      </c>
      <c r="I511">
        <v>5</v>
      </c>
      <c r="J511">
        <v>1</v>
      </c>
      <c r="K511">
        <v>11</v>
      </c>
      <c r="L511" t="str">
        <v>11 sold</v>
      </c>
      <c r="M511" t="str">
        <v/>
      </c>
      <c r="N511" t="str">
        <v>https://img.kwcdn.com/product/open/947896f0b03e4abc8dabc3d1468d8077-goods.jpeg</v>
      </c>
      <c r="O511" t="str">
        <v>https://www.temu.com/goods.html?goods_id=606536772480219</v>
      </c>
    </row>
    <row r="512">
      <c r="A512" t="str">
        <v>TI / Redes</v>
      </c>
      <c r="B512" t="str">
        <v>ethernet cable</v>
      </c>
      <c r="C512" t="str">
        <v>601101705366757</v>
      </c>
      <c r="D512" t="str">
        <v>75ft * Ethernet Cable, Flat Network LAN Cable Shielded, * 40* 2000 Mhz, Professional Flat Internet Cable, *</v>
      </c>
      <c r="E512">
        <v>2.86</v>
      </c>
      <c r="F512">
        <v>3.89</v>
      </c>
      <c r="G512">
        <v>26.48</v>
      </c>
      <c r="H512">
        <f>IF(E512="","",ROUND(E512*Resumen!$B$3,2))</f>
      </c>
      <c r="K512">
        <v>10</v>
      </c>
      <c r="L512" t="str">
        <v>10 sold</v>
      </c>
      <c r="M512" t="str">
        <v/>
      </c>
      <c r="N512" t="str">
        <v>https://img.kwcdn.com/product/open/c126af9f075b4889ba63b051a2e33f53-goods.jpeg</v>
      </c>
      <c r="O512" t="str">
        <v>https://www.temu.com/goods.html?goods_id=601101705366757</v>
      </c>
    </row>
    <row r="513">
      <c r="A513" t="str">
        <v>TI / Redes</v>
      </c>
      <c r="B513" t="str">
        <v>wifi extender</v>
      </c>
      <c r="C513" t="str">
        <v>605843319824132</v>
      </c>
      <c r="D513" t="str">
        <v>6-Antenna Wifi * Booster/Repeater, 300Mbps * Amplifier, Wide Coverage Network Extender, Suitable for Home/Office, Plug And Play, Easy to Set Up, Compatible with Smartphones/Laptops - * Range Extender</v>
      </c>
      <c r="E513">
        <v>8.9</v>
      </c>
      <c r="F513">
        <v>39.99</v>
      </c>
      <c r="G513">
        <v>77.74</v>
      </c>
      <c r="H513">
        <f>IF(E513="","",ROUND(E513*Resumen!$B$3,2))</f>
      </c>
      <c r="I513">
        <v>1</v>
      </c>
      <c r="J513">
        <v>2</v>
      </c>
      <c r="K513">
        <v>10</v>
      </c>
      <c r="L513" t="str">
        <v>10 sold</v>
      </c>
      <c r="M513" t="str">
        <v/>
      </c>
      <c r="N513" t="str">
        <v>https://img.kwcdn.com/product/fancy/b9314727-6d7f-40a7-862c-151bb992c664.jpg</v>
      </c>
      <c r="O513" t="str">
        <v>https://www.temu.com/goods.html?goods_id=605843319824132</v>
      </c>
    </row>
    <row r="514">
      <c r="A514" t="str">
        <v>TI / Redes</v>
      </c>
      <c r="B514" t="str">
        <v>wifi extender</v>
      </c>
      <c r="C514" t="str">
        <v>606457986656928</v>
      </c>
      <c r="D514" t="str">
        <v>WiFi * Extender, WiFi 6 Repeater, 4 *, Ethernet Port and Wall * Function - Provide Stable Connection for Home, Office, Shopping Mall, Office Wifi Booster, Home Network Extender, *, Modern * Booster</v>
      </c>
      <c r="E514">
        <v>6.11</v>
      </c>
      <c r="F514">
        <v>49.99</v>
      </c>
      <c r="G514">
        <v>87.78</v>
      </c>
      <c r="H514">
        <f>IF(E514="","",ROUND(E514*Resumen!$B$3,2))</f>
      </c>
      <c r="K514">
        <v>10</v>
      </c>
      <c r="L514" t="str">
        <v>10 sold</v>
      </c>
      <c r="M514" t="str">
        <v/>
      </c>
      <c r="N514" t="str">
        <v>https://img.kwcdn.com/product/fancy/0b10a196-7d66-4be5-a15b-3ae29c6becc4.jpg</v>
      </c>
      <c r="O514" t="str">
        <v>https://www.temu.com/goods.html?goods_id=606457986656928</v>
      </c>
    </row>
    <row r="515">
      <c r="A515" t="str">
        <v>TI / Redes</v>
      </c>
      <c r="B515" t="str">
        <v>wifi router</v>
      </c>
      <c r="C515" t="str">
        <v>606718335534986</v>
      </c>
      <c r="D515" t="str">
        <v>3pcs Set: 2pcs No-Drill Wall-Mounted Storage Shelf + 1 Free Rabbit Storage Bag. Suitable for Router, WiFi Modem, Set-Top Box, Cable Management, Synthetic Gemstone Shelf. Space-saving, Multi-functional Storage Rack with Adhesive, Perfect for Halloween</v>
      </c>
      <c r="E515">
        <v>4.63</v>
      </c>
      <c r="H515">
        <f>IF(E515="","",ROUND(E515*Resumen!$B$3,2))</f>
      </c>
      <c r="K515">
        <v>10</v>
      </c>
      <c r="L515" t="str">
        <v>10</v>
      </c>
      <c r="M515" t="str">
        <v/>
      </c>
      <c r="N515" t="str">
        <v>https://img.kwcdn.com/product/open/ffbfd8ab6a7843fa9e3cc552fda09375-goods.jpeg</v>
      </c>
      <c r="O515" t="str">
        <v>https://www.temu.com/goods.html?goods_id=606718335534986</v>
      </c>
    </row>
    <row r="516">
      <c r="A516" t="str">
        <v>TI / Redes</v>
      </c>
      <c r="B516" t="str">
        <v>ethernet cable</v>
      </c>
      <c r="C516" t="str">
        <v>601103676783073</v>
      </c>
      <c r="D516" t="str">
        <v>50ft Round * Ethernet Cab, 40* 2000MHz, Round Cable, Internet Cable Lans, Outdoor Indoor with High Speed, Compatible with */ Cat6/ *</v>
      </c>
      <c r="E516">
        <v>2.78</v>
      </c>
      <c r="F516">
        <v>5.69</v>
      </c>
      <c r="G516">
        <v>51.14</v>
      </c>
      <c r="H516">
        <f>IF(E516="","",ROUND(E516*Resumen!$B$3,2))</f>
      </c>
      <c r="I516">
        <v>3</v>
      </c>
      <c r="J516">
        <v>2</v>
      </c>
      <c r="K516">
        <v>8</v>
      </c>
      <c r="L516" t="str">
        <v>8 sold</v>
      </c>
      <c r="M516" t="str">
        <v/>
      </c>
      <c r="N516" t="str">
        <v>https://img.kwcdn.com/product/open/be2efcce167546b8bbdd08a92be9f7c9-goods.jpeg</v>
      </c>
      <c r="O516" t="str">
        <v>https://www.temu.com/goods.html?goods_id=601103676783073</v>
      </c>
    </row>
    <row r="517">
      <c r="A517" t="str">
        <v>TI / Redes</v>
      </c>
      <c r="B517" t="str">
        <v>ethernet cable</v>
      </c>
      <c r="C517" t="str">
        <v>601103367632655</v>
      </c>
      <c r="D517" t="str">
        <v>Cat6 Ethernet Cable - 3ft to 30ft Long, 1000Mbps 250MHz * RJ45 LAN Cable with Clips for Router, Modem, PS4/5, * Gaming</v>
      </c>
      <c r="E517">
        <v>2.37</v>
      </c>
      <c r="F517">
        <v>9.99</v>
      </c>
      <c r="G517">
        <v>76.28</v>
      </c>
      <c r="H517">
        <f>IF(E517="","",ROUND(E517*Resumen!$B$3,2))</f>
      </c>
      <c r="K517">
        <v>7</v>
      </c>
      <c r="L517" t="str">
        <v>7 sold</v>
      </c>
      <c r="M517" t="str">
        <v/>
      </c>
      <c r="N517" t="str">
        <v>https://img.kwcdn.com/product/open/7262823efaa44c53959bc959cc70b9a0-goods.jpeg</v>
      </c>
      <c r="O517" t="str">
        <v>https://www.temu.com/goods.html?goods_id=601103367632655</v>
      </c>
    </row>
    <row r="518">
      <c r="A518" t="str">
        <v>TI / Redes</v>
      </c>
      <c r="B518" t="str">
        <v>wifi extender</v>
      </c>
      <c r="C518" t="str">
        <v>602545346971536</v>
      </c>
      <c r="D518" t="str">
        <v>* EAX15-100NAR * Dual-band WiFi 6 Mesh Extender Wall Plug - Certified Refurbished</v>
      </c>
      <c r="E518">
        <v>37.4</v>
      </c>
      <c r="F518">
        <v>100</v>
      </c>
      <c r="G518">
        <v>62.6</v>
      </c>
      <c r="H518">
        <f>IF(E518="","",ROUND(E518*Resumen!$B$3,2))</f>
      </c>
      <c r="I518">
        <v>5</v>
      </c>
      <c r="J518">
        <v>1</v>
      </c>
      <c r="K518">
        <v>7</v>
      </c>
      <c r="L518" t="str">
        <v>7 sold</v>
      </c>
      <c r="M518" t="str">
        <v/>
      </c>
      <c r="N518" t="str">
        <v>https://img.kwcdn.com/local-goods-image/3540f8f5/231cc65b-08c3-4fa8-bcc6-449a99134d51.jpeg</v>
      </c>
      <c r="O518" t="str">
        <v>https://www.temu.com/goods.html?goods_id=602545346971536</v>
      </c>
    </row>
    <row r="519">
      <c r="A519" t="str">
        <v>TI / Redes</v>
      </c>
      <c r="B519" t="str">
        <v>wifi extender</v>
      </c>
      <c r="C519" t="str">
        <v>605884927310899</v>
      </c>
      <c r="D519" t="str">
        <v>1100Mbps WiFi 6 * Booster, 2.4GHz Wireless Range Extender, * with 6 * *, Wall Mounted Home Network Repeater, US Plug * Coverage * Click Control Throughout The House, Suitable for Home Cafes, Gyms, Etc</v>
      </c>
      <c r="E519">
        <v>11.36</v>
      </c>
      <c r="F519">
        <v>39.99</v>
      </c>
      <c r="G519">
        <v>71.59</v>
      </c>
      <c r="H519">
        <f>IF(E519="","",ROUND(E519*Resumen!$B$3,2))</f>
      </c>
      <c r="K519">
        <v>7</v>
      </c>
      <c r="L519" t="str">
        <v>7 sold</v>
      </c>
      <c r="M519" t="str">
        <v/>
      </c>
      <c r="N519" t="str">
        <v>https://img.kwcdn.com/product/fancy/53bb3eaa-28ec-4b0a-8999-fab057d96f7f.jpg</v>
      </c>
      <c r="O519" t="str">
        <v>https://www.temu.com/goods.html?goods_id=605884927310899</v>
      </c>
    </row>
    <row r="520">
      <c r="A520" t="str">
        <v>TI / Redes</v>
      </c>
      <c r="B520" t="str">
        <v>ethernet cable</v>
      </c>
      <c r="C520" t="str">
        <v>606013575003757</v>
      </c>
      <c r="D520" t="str">
        <v>* Ethernet Cable Heavy Duty 40* 2000MHz RJ45 Flat Network Cord, Compatible for Router/Modem/Gaming PC/LAN, * Computer Patch Cable Suitable for Router, Modem, PC, PCIE Connectors</v>
      </c>
      <c r="E520">
        <v>20.75</v>
      </c>
      <c r="F520">
        <v>33.58</v>
      </c>
      <c r="G520">
        <v>38.21</v>
      </c>
      <c r="H520">
        <f>IF(E520="","",ROUND(E520*Resumen!$B$3,2))</f>
      </c>
      <c r="K520">
        <v>7</v>
      </c>
      <c r="L520" t="str">
        <v>7 sold</v>
      </c>
      <c r="M520" t="str">
        <v/>
      </c>
      <c r="N520" t="str">
        <v>https://img.kwcdn.com/product/open/eb47ffd482a54897a2cff5b8f3190565-goods.jpeg</v>
      </c>
      <c r="O520" t="str">
        <v>https://www.temu.com/goods.html?goods_id=606013575003757</v>
      </c>
    </row>
    <row r="521">
      <c r="A521" t="str">
        <v>TI / Redes</v>
      </c>
      <c r="B521" t="str">
        <v>wifi router</v>
      </c>
      <c r="C521" t="str">
        <v>601103208565703</v>
      </c>
      <c r="D521" t="str">
        <v>1pc No-Drill Router Shelf Wall-Mounted Set-Top Box Holder Support Bracket Wifi Placement Organizer, Utility Racks</v>
      </c>
      <c r="E521">
        <v>3.69</v>
      </c>
      <c r="F521">
        <v>11.99</v>
      </c>
      <c r="G521">
        <v>69.22</v>
      </c>
      <c r="H521">
        <f>IF(E521="","",ROUND(E521*Resumen!$B$3,2))</f>
      </c>
      <c r="K521">
        <v>6</v>
      </c>
      <c r="L521" t="str">
        <v>6</v>
      </c>
      <c r="M521" t="str">
        <v/>
      </c>
      <c r="N521" t="str">
        <v>https://img.kwcdn.com/product/fancy/4e6a276a-dec9-4efd-b995-c7e17f5e596e.jpg</v>
      </c>
      <c r="O521" t="str">
        <v>https://www.temu.com/goods.html?goods_id=601103208565703</v>
      </c>
    </row>
    <row r="522">
      <c r="A522" t="str">
        <v>TI / Redes</v>
      </c>
      <c r="B522" t="str">
        <v>wifi extender</v>
      </c>
      <c r="C522" t="str">
        <v>605506835943245</v>
      </c>
      <c r="D522" t="str">
        <v>Wifi Range Extender 1500Mbps, Strong * Wifi * Enhancer with Ethernet Port And 6 *, Easy to Set Up, Suitable for Home, Office, *, 4K Streaming, And Smart Devices</v>
      </c>
      <c r="E522">
        <v>11.99</v>
      </c>
      <c r="F522">
        <v>13.26</v>
      </c>
      <c r="G522">
        <v>9.58</v>
      </c>
      <c r="H522">
        <f>IF(E522="","",ROUND(E522*Resumen!$B$3,2))</f>
      </c>
      <c r="K522">
        <v>6</v>
      </c>
      <c r="L522" t="str">
        <v>6 sold</v>
      </c>
      <c r="M522" t="str">
        <v/>
      </c>
      <c r="N522" t="str">
        <v>https://img.kwcdn.com/product/open/afc6dc98162a44e9b364a134e71adbf5-goods.jpeg</v>
      </c>
      <c r="O522" t="str">
        <v>https://www.temu.com/goods.html?goods_id=605506835943245</v>
      </c>
    </row>
    <row r="523">
      <c r="A523" t="str">
        <v>TI / Redes</v>
      </c>
      <c r="B523" t="str">
        <v>wifi extender</v>
      </c>
      <c r="C523" t="str">
        <v>605740727115307</v>
      </c>
      <c r="D523" t="str">
        <v>Wifi * Extender - Covers Up to 1500 * and Supports Multiple Devices - 1200 Mbps Dual-Band Wireless * Booster and Repeater Up to 12 * Speed Compact Wall-Plug Design - Perfect As A Christmas Gift for Family and Friend</v>
      </c>
      <c r="E523">
        <v>19.45</v>
      </c>
      <c r="F523">
        <v>24.86</v>
      </c>
      <c r="G523">
        <v>21.76</v>
      </c>
      <c r="H523">
        <f>IF(E523="","",ROUND(E523*Resumen!$B$3,2))</f>
      </c>
      <c r="K523">
        <v>6</v>
      </c>
      <c r="L523" t="str">
        <v>6 sold</v>
      </c>
      <c r="M523" t="str">
        <v/>
      </c>
      <c r="N523" t="str">
        <v>https://img.kwcdn.com/product/fancy/af009f7f-68f1-4727-8971-d697615e1ac2.jpg</v>
      </c>
      <c r="O523" t="str">
        <v>https://www.temu.com/goods.html?goods_id=605740727115307</v>
      </c>
    </row>
    <row r="524">
      <c r="A524" t="str">
        <v>TI / Redes</v>
      </c>
      <c r="B524" t="str">
        <v>wifi extender</v>
      </c>
      <c r="C524" t="str">
        <v>606120345217036</v>
      </c>
      <c r="D524" t="str">
        <v>Wifi 6 * Booster And Mesh Network Extender - Dual-Band 2.4Ghz/5Ghz, 6-Antenna * Wi-*, * Control for Easy Setup, Whole-Home Coverage, Compatible with Smart Tvs, Game Consoles, Smartphones, Tablets</v>
      </c>
      <c r="E524">
        <v>19.87</v>
      </c>
      <c r="H524">
        <f>IF(E524="","",ROUND(E524*Resumen!$B$3,2))</f>
      </c>
      <c r="I524">
        <v>5</v>
      </c>
      <c r="J524">
        <v>1</v>
      </c>
      <c r="K524">
        <v>6</v>
      </c>
      <c r="L524" t="str">
        <v>6 sold</v>
      </c>
      <c r="M524" t="str">
        <v/>
      </c>
      <c r="N524" t="str">
        <v>https://img.kwcdn.com/product/open/b0642fddf16b445a86683247e7670734-goods.jpeg</v>
      </c>
      <c r="O524" t="str">
        <v>https://www.temu.com/goods.html?goods_id=606120345217036</v>
      </c>
    </row>
    <row r="525">
      <c r="A525" t="str">
        <v>TI / Redes</v>
      </c>
      <c r="B525" t="str">
        <v>wifi extender</v>
      </c>
      <c r="C525" t="str">
        <v>601105811087101</v>
      </c>
      <c r="D525" t="str">
        <v>WiFi * Extender Dual Band 2.4GHz 5GHz * Booster Repeater 1200Mbps * Penetrating 10000 * Coverage Connects Multiple Devices Black</v>
      </c>
      <c r="E525">
        <v>23.38</v>
      </c>
      <c r="H525">
        <f>IF(E525="","",ROUND(E525*Resumen!$B$3,2))</f>
      </c>
      <c r="K525">
        <v>5</v>
      </c>
      <c r="L525" t="str">
        <v>5 sold</v>
      </c>
      <c r="M525" t="str">
        <v/>
      </c>
      <c r="N525" t="str">
        <v>https://img.kwcdn.com/product/fancy/65121c8c-20c9-4c4a-a1c6-d94d14086c11.jpg</v>
      </c>
      <c r="O525" t="str">
        <v>https://www.temu.com/goods.html?goods_id=601105811087101</v>
      </c>
    </row>
    <row r="526">
      <c r="A526" t="str">
        <v>TI / Redes</v>
      </c>
      <c r="B526" t="str">
        <v>wifi extender</v>
      </c>
      <c r="C526" t="str">
        <v>605861304985454</v>
      </c>
      <c r="D526" t="str">
        <v>Wifi 6 * Extender, 300Mbps * Wireless Repeater with 6 *, * Operation, *, Fully Covering Home *, Supporting Smart Routers, Network Enhancers</v>
      </c>
      <c r="E526">
        <v>10.93</v>
      </c>
      <c r="F526">
        <v>39.99</v>
      </c>
      <c r="G526">
        <v>72.67</v>
      </c>
      <c r="H526">
        <f>IF(E526="","",ROUND(E526*Resumen!$B$3,2))</f>
      </c>
      <c r="I526">
        <v>4</v>
      </c>
      <c r="J526">
        <v>1</v>
      </c>
      <c r="K526">
        <v>5</v>
      </c>
      <c r="L526" t="str">
        <v>5 sold</v>
      </c>
      <c r="M526" t="str">
        <v/>
      </c>
      <c r="N526" t="str">
        <v>https://img.kwcdn.com/product/fancy/eab73d0d-9ec5-40ac-96fe-8029d7e1d302.jpg</v>
      </c>
      <c r="O526" t="str">
        <v>https://www.temu.com/goods.html?goods_id=605861304985454</v>
      </c>
    </row>
    <row r="527">
      <c r="A527" t="str">
        <v>TI / Redes</v>
      </c>
      <c r="B527" t="str">
        <v>wifi extender</v>
      </c>
      <c r="C527" t="str">
        <v>606183427534985</v>
      </c>
      <c r="D527" t="str">
        <v>1500bps WiFi Extender * Amplifier, Covering An Area Of Up to 1600 *, Supporting Multiple Device Connections, Stable *, WIFI * Amplifier, Perfect Gift for *</v>
      </c>
      <c r="E527">
        <v>10.38</v>
      </c>
      <c r="F527">
        <v>19.99</v>
      </c>
      <c r="G527">
        <v>48.07</v>
      </c>
      <c r="H527">
        <f>IF(E527="","",ROUND(E527*Resumen!$B$3,2))</f>
      </c>
      <c r="I527">
        <v>5</v>
      </c>
      <c r="J527">
        <v>1</v>
      </c>
      <c r="K527">
        <v>5</v>
      </c>
      <c r="L527" t="str">
        <v>5 sold</v>
      </c>
      <c r="M527" t="str">
        <v/>
      </c>
      <c r="N527" t="str">
        <v>https://img.kwcdn.com/product/fancy/9a958f71-e3d6-494c-a086-b950cd91abdf.jpg</v>
      </c>
      <c r="O527" t="str">
        <v>https://www.temu.com/goods.html?goods_id=606183427534985</v>
      </c>
    </row>
    <row r="528">
      <c r="A528" t="str">
        <v>TI / Redes</v>
      </c>
      <c r="B528" t="str">
        <v>wifi extender</v>
      </c>
      <c r="C528" t="str">
        <v>606281674896773</v>
      </c>
      <c r="D528" t="str">
        <v>[Wifi Extender] 2026 * Wifi 6 * Extender, 1800 Mbps, Dual-Band 2.4 Ghz/ 5 Ghz * Booster, * with 6 External *, *, Provides * Home Network Coverage, Ideal for Bedrooms, Cafes, And Offices</v>
      </c>
      <c r="E528">
        <v>21.49</v>
      </c>
      <c r="F528">
        <v>109.99</v>
      </c>
      <c r="G528">
        <v>80.46</v>
      </c>
      <c r="H528">
        <f>IF(E528="","",ROUND(E528*Resumen!$B$3,2))</f>
      </c>
      <c r="K528">
        <v>5</v>
      </c>
      <c r="L528" t="str">
        <v>5 sold</v>
      </c>
      <c r="M528" t="str">
        <v/>
      </c>
      <c r="N528" t="str">
        <v>https://img.kwcdn.com/product/open/fd7791879f9244ffbe34762d4603a149-goods.jpeg</v>
      </c>
      <c r="O528" t="str">
        <v>https://www.temu.com/goods.html?goods_id=606281674896773</v>
      </c>
    </row>
    <row r="529">
      <c r="A529" t="str">
        <v>TI / Redes</v>
      </c>
      <c r="B529" t="str">
        <v>wifi extender</v>
      </c>
      <c r="C529" t="str">
        <v>606611229743332</v>
      </c>
      <c r="D529" t="str">
        <v>Wifi Extender for Home, Wifi 6 Dual Band 2.4Ghz + 5Ghz Range Booster, 6-Antenna Wireless Repeater with Gigabit Ethernet Port *-Touch WPS</v>
      </c>
      <c r="E529">
        <v>20.54</v>
      </c>
      <c r="F529">
        <v>95.99</v>
      </c>
      <c r="G529">
        <v>78.6</v>
      </c>
      <c r="H529">
        <f>IF(E529="","",ROUND(E529*Resumen!$B$3,2))</f>
      </c>
      <c r="K529">
        <v>5</v>
      </c>
      <c r="L529" t="str">
        <v>5 sold</v>
      </c>
      <c r="M529" t="str">
        <v/>
      </c>
      <c r="N529" t="str">
        <v>https://img.kwcdn.com/product/fancy/90d1706d-07f4-4d45-8ad4-2a38c59c296e.jpg</v>
      </c>
      <c r="O529" t="str">
        <v>https://www.temu.com/goods.html?goods_id=606611229743332</v>
      </c>
    </row>
    <row r="530">
      <c r="A530" t="str">
        <v>TI / Redes</v>
      </c>
      <c r="B530" t="str">
        <v>wifi router</v>
      </c>
      <c r="C530" t="str">
        <v>606763432688033</v>
      </c>
      <c r="D530" t="str">
        <v>Type-C to DC5.5 X 2.1Mm PD Fast Charge Cable, Portable Monitor Outdoor Power Cord, Compact Storage, No Need to Carry Bulky Original Power Adapter, Compatible with Routers, NAS Hard Drive Enclosures, Surveillance Cameras, Portable Wifi</v>
      </c>
      <c r="E530">
        <v>4.13</v>
      </c>
      <c r="F530">
        <v>5.44</v>
      </c>
      <c r="G530">
        <v>24.08</v>
      </c>
      <c r="H530">
        <f>IF(E530="","",ROUND(E530*Resumen!$B$3,2))</f>
      </c>
      <c r="K530">
        <v>5</v>
      </c>
      <c r="L530" t="str">
        <v>5</v>
      </c>
      <c r="M530" t="str">
        <v/>
      </c>
      <c r="N530" t="str">
        <v>https://img.kwcdn.com/product/fancy/83c449eb-6810-468f-bb66-bc54fb563a08.jpg</v>
      </c>
      <c r="O530" t="str">
        <v>https://www.temu.com/goods.html?goods_id=606763432688033</v>
      </c>
    </row>
    <row r="531">
      <c r="A531" t="str">
        <v>TI / Redes</v>
      </c>
      <c r="B531" t="str">
        <v>wifi extender</v>
      </c>
      <c r="C531" t="str">
        <v>607167897824969</v>
      </c>
      <c r="D531" t="str">
        <v>2-Pack Wifi Extender 1800Mbps Wireless * Amplifier, Dual Band Internet Booster with 6 Powerful * for * Coverage, Supports Smart Tvs, Phones &amp; Laptops</v>
      </c>
      <c r="E531">
        <v>25.01</v>
      </c>
      <c r="F531">
        <v>29.3</v>
      </c>
      <c r="G531">
        <v>14.64</v>
      </c>
      <c r="H531">
        <f>IF(E531="","",ROUND(E531*Resumen!$B$3,2))</f>
      </c>
      <c r="K531">
        <v>5</v>
      </c>
      <c r="L531" t="str">
        <v>5 sold</v>
      </c>
      <c r="M531" t="str">
        <v/>
      </c>
      <c r="N531" t="str">
        <v>https://img.kwcdn.com/product/open/26121a01806a4ad79ed8de08e8b9e283-goods.jpeg</v>
      </c>
      <c r="O531" t="str">
        <v>https://www.temu.com/goods.html?goods_id=607167897824969</v>
      </c>
    </row>
    <row r="532">
      <c r="A532" t="str">
        <v>TI / Redes</v>
      </c>
      <c r="B532" t="str">
        <v>wifi extender</v>
      </c>
      <c r="C532" t="str">
        <v>607396940375698</v>
      </c>
      <c r="D532" t="str">
        <v>Wifi 6 Extender with 1000Mbps Speed, 2.4Ghz Repeater Featuring 6 High-* * for 360° Wifi Coverage, Enhancing * Through Walls, Ideal for * in Homes And Apartments</v>
      </c>
      <c r="E532">
        <v>6.5</v>
      </c>
      <c r="F532">
        <v>57.98</v>
      </c>
      <c r="G532">
        <v>88.79</v>
      </c>
      <c r="H532">
        <f>IF(E532="","",ROUND(E532*Resumen!$B$3,2))</f>
      </c>
      <c r="K532">
        <v>5</v>
      </c>
      <c r="L532" t="str">
        <v>5 sold</v>
      </c>
      <c r="M532" t="str">
        <v/>
      </c>
      <c r="N532" t="str">
        <v>https://img.kwcdn.com/product/open/1c5625f6d21042ceaccaeb4ccdffc5d9-goods.jpeg</v>
      </c>
      <c r="O532" t="str">
        <v>https://www.temu.com/goods.html?goods_id=607396940375698</v>
      </c>
    </row>
    <row r="533">
      <c r="A533" t="str">
        <v>TI / Redes</v>
      </c>
      <c r="B533" t="str">
        <v>wifi extender</v>
      </c>
      <c r="C533" t="str">
        <v>605509453248143</v>
      </c>
      <c r="D533" t="str">
        <v>Dual Band WiFi Extender * Booster Compatible for WiFi 6, Dual-Band Repeater with 1 Ethernet Port, Long Range Booster Suitable for /Office, * Setup, Ethernet Adapter for PC/Laptop, * ( Plug)</v>
      </c>
      <c r="E533">
        <v>24.52</v>
      </c>
      <c r="F533">
        <v>95.99</v>
      </c>
      <c r="G533">
        <v>74.46</v>
      </c>
      <c r="H533">
        <f>IF(E533="","",ROUND(E533*Resumen!$B$3,2))</f>
      </c>
      <c r="K533">
        <v>4</v>
      </c>
      <c r="L533" t="str">
        <v>4 sold</v>
      </c>
      <c r="M533" t="str">
        <v/>
      </c>
      <c r="N533" t="str">
        <v>https://img.kwcdn.com/product/open/b06097c1f2064b949bb4b7c7bad17db5-goods.jpeg</v>
      </c>
      <c r="O533" t="str">
        <v>https://www.temu.com/goods.html?goods_id=605509453248143</v>
      </c>
    </row>
    <row r="534">
      <c r="A534" t="str">
        <v>TI / Redes</v>
      </c>
      <c r="B534" t="str">
        <v>wifi extender</v>
      </c>
      <c r="C534" t="str">
        <v>605863049804496</v>
      </c>
      <c r="D534" t="str">
        <v>WiFi Extender, 2026 Fastest WiFi Booster Dual Band (5GHz/2.4GHz) WiFi Extenders * Booster for Home, WiFi Repeater with Ethernet Port Covers up to 10000sq. Ft and 85+ Devices</v>
      </c>
      <c r="E534">
        <v>26.38</v>
      </c>
      <c r="H534">
        <f>IF(E534="","",ROUND(E534*Resumen!$B$3,2))</f>
      </c>
      <c r="K534">
        <v>4</v>
      </c>
      <c r="L534" t="str">
        <v>4 sold</v>
      </c>
      <c r="M534" t="str">
        <v/>
      </c>
      <c r="N534" t="str">
        <v>https://img.kwcdn.com/product/open/3fb0bee40e3d43aca8b1ce1f0d3c3186-goods.jpeg</v>
      </c>
      <c r="O534" t="str">
        <v>https://www.temu.com/goods.html?goods_id=605863049804496</v>
      </c>
    </row>
    <row r="535">
      <c r="A535" t="str">
        <v>TI / Redes</v>
      </c>
      <c r="B535" t="str">
        <v>wifi extender</v>
      </c>
      <c r="C535" t="str">
        <v>605900093933987</v>
      </c>
      <c r="D535" t="str">
        <v>Wifi 6 Gaming Wifi Extender Booster Dual Band 2.4G+5Ghz Wifi Repeater 6 * Low Latency Internet Amplifier with WPS &amp; Ethernet Port for Gaming And 4K Streaming</v>
      </c>
      <c r="E535">
        <v>8.77</v>
      </c>
      <c r="F535">
        <v>24.73</v>
      </c>
      <c r="G535">
        <v>64.54</v>
      </c>
      <c r="H535">
        <f>IF(E535="","",ROUND(E535*Resumen!$B$3,2))</f>
      </c>
      <c r="K535">
        <v>4</v>
      </c>
      <c r="L535" t="str">
        <v>4 sold</v>
      </c>
      <c r="M535" t="str">
        <v/>
      </c>
      <c r="N535" t="str">
        <v>https://img.kwcdn.com/product/open/9e07f7757fdf4f84aae1368cbed8af74-goods.jpeg</v>
      </c>
      <c r="O535" t="str">
        <v>https://www.temu.com/goods.html?goods_id=605900093933987</v>
      </c>
    </row>
    <row r="536">
      <c r="A536" t="str">
        <v>TI / Redes</v>
      </c>
      <c r="B536" t="str">
        <v>wifi extender</v>
      </c>
      <c r="C536" t="str">
        <v>606265518466507</v>
      </c>
      <c r="D536" t="str">
        <v>WiFi Extender High-Quality Wireless Internet WiFi RepeaterRouterAP * Booster Covers Up to 10000 * Anti-Interference WiFi Extender Practical Internet Extender Ideal Christmas Gift</v>
      </c>
      <c r="E536">
        <v>12.07</v>
      </c>
      <c r="F536">
        <v>24.86</v>
      </c>
      <c r="G536">
        <v>51.45</v>
      </c>
      <c r="H536">
        <f>IF(E536="","",ROUND(E536*Resumen!$B$3,2))</f>
      </c>
      <c r="I536">
        <v>5</v>
      </c>
      <c r="J536">
        <v>1</v>
      </c>
      <c r="K536">
        <v>4</v>
      </c>
      <c r="L536" t="str">
        <v>4 sold</v>
      </c>
      <c r="M536" t="str">
        <v/>
      </c>
      <c r="N536" t="str">
        <v>https://img.kwcdn.com/product/fancy/f6cf5fc3-0879-4c70-95c4-3b949fc4e2d9.jpg</v>
      </c>
      <c r="O536" t="str">
        <v>https://www.temu.com/goods.html?goods_id=606265518466507</v>
      </c>
    </row>
    <row r="537">
      <c r="A537" t="str">
        <v>TI / Redes</v>
      </c>
      <c r="B537" t="str">
        <v>wifi router</v>
      </c>
      <c r="C537" t="str">
        <v>606602371368120</v>
      </c>
      <c r="D537" t="str">
        <v>Home WiFi Extender Signal Booster, WiFi Booster with 2 Ethernet Ports, Single Band Internet Extender, WiFi Repeater Signal Booster, Plug and Play, Router and Access Point Mode</v>
      </c>
      <c r="E537">
        <v>5.84</v>
      </c>
      <c r="F537">
        <v>39.99</v>
      </c>
      <c r="G537">
        <v>85.4</v>
      </c>
      <c r="H537">
        <f>IF(E537="","",ROUND(E537*Resumen!$B$3,2))</f>
      </c>
      <c r="K537">
        <v>4</v>
      </c>
      <c r="L537" t="str">
        <v>4</v>
      </c>
      <c r="M537" t="str">
        <v/>
      </c>
      <c r="N537" t="str">
        <v>https://img.kwcdn.com/product/fancy/6cb3495e-79ff-4ac2-80ab-a443007cd2cc.jpg</v>
      </c>
      <c r="O537" t="str">
        <v>https://www.temu.com/goods.html?goods_id=606602371368120</v>
      </c>
    </row>
    <row r="538">
      <c r="A538" t="str">
        <v>TI / Redes</v>
      </c>
      <c r="B538" t="str">
        <v>wifi router</v>
      </c>
      <c r="C538" t="str">
        <v>607511293880090</v>
      </c>
      <c r="D538" t="str">
        <v>Prepaid Data SIM Card USA - 1GB 30 Days - High Speed 5G 4G LTE Unlimited Data at 256 Kbps - 3-In-1 SIM for Unlocked Mobile Phones, Wifi Hotspots, Routers, GPS Trackers, Security Cameras</v>
      </c>
      <c r="E538">
        <v>5.07</v>
      </c>
      <c r="F538">
        <v>8.49</v>
      </c>
      <c r="G538">
        <v>40.28</v>
      </c>
      <c r="H538">
        <f>IF(E538="","",ROUND(E538*Resumen!$B$3,2))</f>
      </c>
      <c r="K538">
        <v>4</v>
      </c>
      <c r="L538" t="str">
        <v>4</v>
      </c>
      <c r="M538" t="str">
        <v/>
      </c>
      <c r="N538" t="str">
        <v>https://img.kwcdn.com/product/algo_check/auto/8326ec8f5b445a383074ccb27f523bc2_1788842000974.jpg</v>
      </c>
      <c r="O538" t="str">
        <v>https://www.temu.com/goods.html?goods_id=607511293880090</v>
      </c>
    </row>
    <row r="539">
      <c r="A539" t="str">
        <v>TI / Redes</v>
      </c>
      <c r="B539" t="str">
        <v>wifi extender</v>
      </c>
      <c r="C539" t="str">
        <v>607652155338386</v>
      </c>
      <c r="D539" t="str">
        <v>WiFi Extender, 2026 Fastest WiFi Booster Dual Band (5GHz/2.4GHz) WiFi Extenders * Booster for Home, WiFi Repeater with Ethernet Port Covers up to 10000sq. Ft and 85+ Devices</v>
      </c>
      <c r="E539">
        <v>22.84</v>
      </c>
      <c r="F539">
        <v>29.99</v>
      </c>
      <c r="G539">
        <v>23.84</v>
      </c>
      <c r="H539">
        <f>IF(E539="","",ROUND(E539*Resumen!$B$3,2))</f>
      </c>
      <c r="K539">
        <v>4</v>
      </c>
      <c r="L539" t="str">
        <v>4 sold</v>
      </c>
      <c r="M539" t="str">
        <v/>
      </c>
      <c r="N539" t="str">
        <v>https://img.kwcdn.com/product/open/0477659eed404a328bc130162d8a2439-goods.jpeg</v>
      </c>
      <c r="O539" t="str">
        <v>https://www.temu.com/goods.html?goods_id=607652155338386</v>
      </c>
    </row>
    <row r="540">
      <c r="A540" t="str">
        <v>TI / Redes</v>
      </c>
      <c r="B540" t="str">
        <v>wifi extender</v>
      </c>
      <c r="C540" t="str">
        <v>606094709620602</v>
      </c>
      <c r="D540" t="str">
        <v>2026 Wifi Extender * Booster - 2.4Ghz 3000Mbps Wifi Booster for Home, Covers Up to 10999 Sq. Ft, Easy Setup, Ethernet Port &amp; *, Stable * with 85+ Devices</v>
      </c>
      <c r="E540">
        <v>85.95</v>
      </c>
      <c r="F540">
        <v>299.99</v>
      </c>
      <c r="G540">
        <v>71.35</v>
      </c>
      <c r="H540">
        <f>IF(E540="","",ROUND(E540*Resumen!$B$3,2))</f>
      </c>
      <c r="I540">
        <v>5</v>
      </c>
      <c r="J540">
        <v>1</v>
      </c>
      <c r="K540">
        <v>3</v>
      </c>
      <c r="L540" t="str">
        <v>3 sold</v>
      </c>
      <c r="M540" t="str">
        <v/>
      </c>
      <c r="N540" t="str">
        <v>https://img.kwcdn.com/product/open/ac477664465042269fca73cd0cc293ad-goods.jpeg</v>
      </c>
      <c r="O540" t="str">
        <v>https://www.temu.com/goods.html?goods_id=606094709620602</v>
      </c>
    </row>
    <row r="541">
      <c r="A541" t="str">
        <v>TI / Redes</v>
      </c>
      <c r="B541" t="str">
        <v>wifi router</v>
      </c>
      <c r="C541" t="str">
        <v>606974422957212</v>
      </c>
      <c r="D541" t="str">
        <v>Portable 4G LTE WiFi Hotspot and Digital Router-no SIM Card Required, 1GB of Free Data in the U.S., Coverage in Over 150 Countries, USB-C Port, 1 Port-provides High-speed WiFi for Digital Nomads and Is Compatible with Smartphones and Tablets</v>
      </c>
      <c r="E541">
        <v>72.95</v>
      </c>
      <c r="F541">
        <v>286.13</v>
      </c>
      <c r="G541">
        <v>74.5</v>
      </c>
      <c r="H541">
        <f>IF(E541="","",ROUND(E541*Resumen!$B$3,2))</f>
      </c>
      <c r="I541">
        <v>5</v>
      </c>
      <c r="K541">
        <v>3</v>
      </c>
      <c r="L541" t="str">
        <v>3</v>
      </c>
      <c r="M541" t="str">
        <v/>
      </c>
      <c r="N541" t="str">
        <v>https://img.kwcdn.com/product/open/d724e12a556d4b2090d9035c41f134d9-goods.jpeg</v>
      </c>
      <c r="O541" t="str">
        <v>https://www.temu.com/goods.html?goods_id=606974422957212</v>
      </c>
    </row>
    <row r="542">
      <c r="A542" t="str">
        <v>TI / Redes</v>
      </c>
      <c r="B542" t="str">
        <v>ethernet cable</v>
      </c>
      <c r="C542" t="str">
        <v>601104237921750</v>
      </c>
      <c r="D542" t="str">
        <v>100ft * Ethernet Cable, * 40* 2000 Mhz, Rj45, Professional Flat Internet Cable for Gaming/ Modem/ Router/ PC/ PS5/ *, White Black</v>
      </c>
      <c r="E542">
        <v>2.61</v>
      </c>
      <c r="F542">
        <v>20.11</v>
      </c>
      <c r="G542">
        <v>87.02</v>
      </c>
      <c r="H542">
        <f>IF(E542="","",ROUND(E542*Resumen!$B$3,2))</f>
      </c>
      <c r="I542">
        <v>5</v>
      </c>
      <c r="J542">
        <v>1</v>
      </c>
      <c r="K542">
        <v>2</v>
      </c>
      <c r="L542" t="str">
        <v>2 sold</v>
      </c>
      <c r="M542" t="str">
        <v/>
      </c>
      <c r="N542" t="str">
        <v>https://img.kwcdn.com/product/fancy/384d1b8c-4f58-409c-93d3-5fa8a018889a.jpg</v>
      </c>
      <c r="O542" t="str">
        <v>https://www.temu.com/goods.html?goods_id=601104237921750</v>
      </c>
    </row>
    <row r="543">
      <c r="A543" t="str">
        <v>TI / Redes</v>
      </c>
      <c r="B543" t="str">
        <v>ethernet cable</v>
      </c>
      <c r="C543" t="str">
        <v>605636758754929</v>
      </c>
      <c r="D543" t="str">
        <v>* Ethernet Cable, 40*/2000Mhz SFTP RJ45 High Speed Heavy Duty LAN Network Internet Patch Cord, Stable Network * Without Delay, * for Games/Home Use/Office And * Network Connection, 3FT-100FT</v>
      </c>
      <c r="E543">
        <v>8.65</v>
      </c>
      <c r="H543">
        <f>IF(E543="","",ROUND(E543*Resumen!$B$3,2))</f>
      </c>
      <c r="K543">
        <v>2</v>
      </c>
      <c r="L543" t="str">
        <v>2 sold</v>
      </c>
      <c r="M543" t="str">
        <v/>
      </c>
      <c r="N543" t="str">
        <v>https://img.kwcdn.com/product/open/e6c4dc4a7ca04487a8f6834115f31d62-goods.jpeg</v>
      </c>
      <c r="O543" t="str">
        <v>https://www.temu.com/goods.html?goods_id=605636758754929</v>
      </c>
    </row>
    <row r="544">
      <c r="A544" t="str">
        <v>TI / Redes</v>
      </c>
      <c r="B544" t="str">
        <v>wifi extender</v>
      </c>
      <c r="C544" t="str">
        <v>606097662436332</v>
      </c>
      <c r="D544" t="str">
        <v>WiFi 4 Repeater 3000Mbps Dual Band WLAN Repeater, Wireless * Booster with 4 *, Wide Coverage Internet Extender for Home</v>
      </c>
      <c r="E544">
        <v>56.98</v>
      </c>
      <c r="F544">
        <v>299.99</v>
      </c>
      <c r="G544">
        <v>81.01</v>
      </c>
      <c r="H544">
        <f>IF(E544="","",ROUND(E544*Resumen!$B$3,2))</f>
      </c>
      <c r="I544">
        <v>5</v>
      </c>
      <c r="J544">
        <v>1</v>
      </c>
      <c r="K544">
        <v>2</v>
      </c>
      <c r="L544" t="str">
        <v>2 sold</v>
      </c>
      <c r="M544" t="str">
        <v/>
      </c>
      <c r="N544" t="str">
        <v>https://img.kwcdn.com/product/open/4c7f80d030e441f4ab62d119a95dca01-goods.jpeg</v>
      </c>
      <c r="O544" t="str">
        <v>https://www.temu.com/goods.html?goods_id=606097662436332</v>
      </c>
    </row>
    <row r="545">
      <c r="A545" t="str">
        <v>TI / Redes</v>
      </c>
      <c r="B545" t="str">
        <v>ethernet cable</v>
      </c>
      <c r="C545" t="str">
        <v>606288452917639</v>
      </c>
      <c r="D545" t="str">
        <v>Nylon Ethernet Cable, * Ethernet Cable, 40* 2000Mhz * *8 Patch Cord, RJ45 Connector, LAN Network Internet Cable for Router/Gaming/Computer, S/FTP, 3Ft-6Ft-10Ft, Black</v>
      </c>
      <c r="E545">
        <v>18.78</v>
      </c>
      <c r="F545">
        <v>31.8</v>
      </c>
      <c r="G545">
        <v>40.94</v>
      </c>
      <c r="H545">
        <f>IF(E545="","",ROUND(E545*Resumen!$B$3,2))</f>
      </c>
      <c r="K545">
        <v>2</v>
      </c>
      <c r="L545" t="str">
        <v>2 sold</v>
      </c>
      <c r="M545" t="str">
        <v/>
      </c>
      <c r="N545" t="str">
        <v>https://img.kwcdn.com/product/open/6d43e8699cc64d75b15773694ffd8197-goods.jpeg</v>
      </c>
      <c r="O545" t="str">
        <v>https://www.temu.com/goods.html?goods_id=606288452917639</v>
      </c>
    </row>
    <row r="546">
      <c r="A546" t="str">
        <v>TI / Redes</v>
      </c>
      <c r="B546" t="str">
        <v>wifi extender</v>
      </c>
      <c r="C546" t="str">
        <v>607053342968396</v>
      </c>
      <c r="D546" t="str">
        <v>Wifi6 Extender Is 1500Mbps, 2.4Ghzwifi Repeater with 6 High-* * Supports 360°Wifi Coverage, And Enhances The * Through The Wall, Which Is Suitable for Simple Installation in Homes And Apartments.</v>
      </c>
      <c r="E546">
        <v>7.73</v>
      </c>
      <c r="F546">
        <v>29.99</v>
      </c>
      <c r="G546">
        <v>74.22</v>
      </c>
      <c r="H546">
        <f>IF(E546="","",ROUND(E546*Resumen!$B$3,2))</f>
      </c>
      <c r="I546">
        <v>1</v>
      </c>
      <c r="J546">
        <v>1</v>
      </c>
      <c r="K546">
        <v>2</v>
      </c>
      <c r="L546" t="str">
        <v>2 sold</v>
      </c>
      <c r="M546" t="str">
        <v/>
      </c>
      <c r="N546" t="str">
        <v>https://img.kwcdn.com/product/open/432b5418c3ba4ddd963bb4c96a9f8daf-goods.jpeg</v>
      </c>
      <c r="O546" t="str">
        <v>https://www.temu.com/goods.html?goods_id=607053342968396</v>
      </c>
    </row>
    <row r="547">
      <c r="A547" t="str">
        <v>TI / Redes</v>
      </c>
      <c r="B547" t="str">
        <v>wifi extender</v>
      </c>
      <c r="C547" t="str">
        <v>607300840454430</v>
      </c>
      <c r="D547" t="str">
        <v>Dual Band WiFi Extender * Booster for Home, 1200Mbps Wireless Repeater with 4 Antenna &amp; 360° Coverage, Eliminate Dead Zones Suitable for, Office, Devices, PC, Streaming, Gaming</v>
      </c>
      <c r="E547">
        <v>7.69</v>
      </c>
      <c r="F547">
        <v>39.9</v>
      </c>
      <c r="G547">
        <v>80.73</v>
      </c>
      <c r="H547">
        <f>IF(E547="","",ROUND(E547*Resumen!$B$3,2))</f>
      </c>
      <c r="K547">
        <v>2</v>
      </c>
      <c r="L547" t="str">
        <v>2 sold</v>
      </c>
      <c r="M547" t="str">
        <v/>
      </c>
      <c r="N547" t="str">
        <v>https://img.kwcdn.com/product/fancy/bbe49e61-214d-4e77-b3d1-d1e7c55b434c.jpg</v>
      </c>
      <c r="O547" t="str">
        <v>https://www.temu.com/goods.html?goods_id=607300840454430</v>
      </c>
    </row>
    <row r="548">
      <c r="A548" t="str">
        <v>TI / Redes</v>
      </c>
      <c r="B548" t="str">
        <v>wifi extender</v>
      </c>
      <c r="C548" t="str">
        <v>609939762300158</v>
      </c>
      <c r="D548" t="str">
        <v>* RP-AX58 * WiFi 6 Dual-Band Range Extender, * Compatible, Seamless Mesh Network Repeater, Works with Any Router, Compact Wall-Plug Design (*)</v>
      </c>
      <c r="E548">
        <v>52.93</v>
      </c>
      <c r="H548">
        <f>IF(E548="","",ROUND(E548*Resumen!$B$3,2))</f>
      </c>
      <c r="K548">
        <v>2</v>
      </c>
      <c r="L548" t="str">
        <v>2 sold</v>
      </c>
      <c r="M548" t="str">
        <v/>
      </c>
      <c r="N548" t="str">
        <v>https://img.kwcdn.com/local-goods-image/a416afaa/5908f424-f84f-4273-8cfe-37fcc937380f.jpeg</v>
      </c>
      <c r="O548" t="str">
        <v>https://www.temu.com/goods.html?goods_id=609939762300158</v>
      </c>
    </row>
    <row r="549">
      <c r="A549" t="str">
        <v>TI / Redes</v>
      </c>
      <c r="B549" t="str">
        <v>wifi extender</v>
      </c>
      <c r="C549" t="str">
        <v>606186329985404</v>
      </c>
      <c r="D549" t="str">
        <v>Full Coverage Wifi Extender, WIFI6 * Booster, * with 4 360° Omnidirectional *, Can * 1000 * of Seamless Coverage, Support Ethernet Port, Smooth Video Streaming, * Games, HD Conferencing, No Delay</v>
      </c>
      <c r="E549">
        <v>21.55</v>
      </c>
      <c r="F549">
        <v>49.99</v>
      </c>
      <c r="G549">
        <v>56.89</v>
      </c>
      <c r="H549">
        <f>IF(E549="","",ROUND(E549*Resumen!$B$3,2))</f>
      </c>
      <c r="K549">
        <v>1</v>
      </c>
      <c r="L549" t="str">
        <v>1 sold</v>
      </c>
      <c r="M549" t="str">
        <v/>
      </c>
      <c r="N549" t="str">
        <v>https://img.kwcdn.com/product/fancy/5400fb56-1598-490c-a640-8f0fe968b806.jpg</v>
      </c>
      <c r="O549" t="str">
        <v>https://www.temu.com/goods.html?goods_id=606186329985404</v>
      </c>
    </row>
    <row r="550">
      <c r="A550" t="str">
        <v>TI / Redes</v>
      </c>
      <c r="B550" t="str">
        <v>wifi extender</v>
      </c>
      <c r="C550" t="str">
        <v>606378177435094</v>
      </c>
      <c r="D550" t="str">
        <v>* WiFi 6 Range Extender Compatible for All Routers, Dual Band Mesh * Booster with Gigabit Ethernet Port, 1800m Coverage &amp; Eliminates Dead Zones, WiFi Booster Suitable for Home, Smartphones, PCs, Tablets, Router Extender</v>
      </c>
      <c r="E550">
        <v>111.16</v>
      </c>
      <c r="F550">
        <v>299.99</v>
      </c>
      <c r="G550">
        <v>62.95</v>
      </c>
      <c r="H550">
        <f>IF(E550="","",ROUND(E550*Resumen!$B$3,2))</f>
      </c>
      <c r="I550">
        <v>5</v>
      </c>
      <c r="J550">
        <v>1</v>
      </c>
      <c r="K550">
        <v>1</v>
      </c>
      <c r="L550" t="str">
        <v>1 sold</v>
      </c>
      <c r="M550" t="str">
        <v/>
      </c>
      <c r="N550" t="str">
        <v>https://img.kwcdn.com/product/open/cb5b159541814240a2f1c6d0f2cf20f7-goods.jpeg</v>
      </c>
      <c r="O550" t="str">
        <v>https://www.temu.com/goods.html?goods_id=606378177435094</v>
      </c>
    </row>
    <row r="551">
      <c r="A551" t="str">
        <v>TI / Redes</v>
      </c>
      <c r="B551" t="str">
        <v>wifi extender</v>
      </c>
      <c r="C551" t="str">
        <v>606575829838024</v>
      </c>
      <c r="D551" t="str">
        <v>WiFi 6 * Booster and Mesh Network Extender - Dual-band 2.4GHz/5GHz, 6-antenna * Wi-*, * Control for Easy Setup, Whole-home Coverage, Compatible with Smart TVs, Game Consoles, Smartphones, Tablets, and Smart *</v>
      </c>
      <c r="E551">
        <v>21.91</v>
      </c>
      <c r="F551">
        <v>95.99</v>
      </c>
      <c r="G551">
        <v>77.17</v>
      </c>
      <c r="H551">
        <f>IF(E551="","",ROUND(E551*Resumen!$B$3,2))</f>
      </c>
      <c r="K551">
        <v>1</v>
      </c>
      <c r="L551" t="str">
        <v>1 sold</v>
      </c>
      <c r="M551" t="str">
        <v/>
      </c>
      <c r="N551" t="str">
        <v>https://img.kwcdn.com/product/fancy/8317a29f-f524-4250-b2f1-c1fd4d3eee82.jpg</v>
      </c>
      <c r="O551" t="str">
        <v>https://www.temu.com/goods.html?goods_id=606575829838024</v>
      </c>
    </row>
    <row r="552">
      <c r="A552" t="str">
        <v>TI / Redes</v>
      </c>
      <c r="B552" t="str">
        <v>wifi extender</v>
      </c>
      <c r="C552" t="str">
        <v>606623846238628</v>
      </c>
      <c r="D552" t="str">
        <v>Wifi Extender, Wifi Extender * Booster, Wifi Booster, Covers Up to 1288 *, Connects 105 Devices, Wireless Repeater, Wifi Repeater, Home Wifi Extender * Booster</v>
      </c>
      <c r="E552">
        <v>5.7</v>
      </c>
      <c r="F552">
        <v>39.99</v>
      </c>
      <c r="G552">
        <v>85.75</v>
      </c>
      <c r="H552">
        <f>IF(E552="","",ROUND(E552*Resumen!$B$3,2))</f>
      </c>
      <c r="K552">
        <v>1</v>
      </c>
      <c r="L552" t="str">
        <v>1 sold</v>
      </c>
      <c r="M552" t="str">
        <v/>
      </c>
      <c r="N552" t="str">
        <v>https://img.kwcdn.com/product/open/244ca4f63aae4902b08cb5a4e21bd2bb-goods.jpeg</v>
      </c>
      <c r="O552" t="str">
        <v>https://www.temu.com/goods.html?goods_id=606623846238628</v>
      </c>
    </row>
    <row r="553">
      <c r="A553" t="str">
        <v>TI / Redes</v>
      </c>
      <c r="B553" t="str">
        <v>wifi router</v>
      </c>
      <c r="C553" t="str">
        <v>606817388231198</v>
      </c>
      <c r="D553" t="str">
        <v>Portable Hard Storage Case Fits Gl-Inet GL-BE3600, MT3000, AXT1800, MT1300, SFT1200, A1300, Slate 7 Travel Wifi Router, Shock-Proof Protective Bag for Router Additions (Case Solely)</v>
      </c>
      <c r="E553">
        <v>10.56</v>
      </c>
      <c r="F553">
        <v>16.99</v>
      </c>
      <c r="G553">
        <v>37.85</v>
      </c>
      <c r="H553">
        <f>IF(E553="","",ROUND(E553*Resumen!$B$3,2))</f>
      </c>
      <c r="K553">
        <v>1</v>
      </c>
      <c r="L553" t="str">
        <v>1</v>
      </c>
      <c r="M553" t="str">
        <v/>
      </c>
      <c r="N553" t="str">
        <v>https://img.kwcdn.com/product/open/99dfae8dc075472cb29a5b3f5b4e8f2f-goods.jpeg</v>
      </c>
      <c r="O553" t="str">
        <v>https://www.temu.com/goods.html?goods_id=606817388231198</v>
      </c>
    </row>
    <row r="554">
      <c r="A554" t="str">
        <v>TI / Redes</v>
      </c>
      <c r="B554" t="str">
        <v>wifi router</v>
      </c>
      <c r="C554" t="str">
        <v>606892818583962</v>
      </c>
      <c r="D554" t="str">
        <v>Wireless Router Storage Rack, Shelf, Easy to Install, Wall-Mountable Plastic Storage Box, Suitable for Home Decor, Room or Office, Multi-Functional Organizer, Practical WiFi Router Storage Rack, Tool Rack, Utility Racks</v>
      </c>
      <c r="E554">
        <v>7.84</v>
      </c>
      <c r="F554">
        <v>58.72</v>
      </c>
      <c r="G554">
        <v>86.65</v>
      </c>
      <c r="H554">
        <f>IF(E554="","",ROUND(E554*Resumen!$B$3,2))</f>
      </c>
      <c r="K554">
        <v>1</v>
      </c>
      <c r="L554" t="str">
        <v>1</v>
      </c>
      <c r="M554" t="str">
        <v/>
      </c>
      <c r="N554" t="str">
        <v>https://img.kwcdn.com/product/fancy/c0a98154-5b36-4c57-81c1-428c6104dc5c.jpg</v>
      </c>
      <c r="O554" t="str">
        <v>https://www.temu.com/goods.html?goods_id=606892818583962</v>
      </c>
    </row>
    <row r="555">
      <c r="A555" t="str">
        <v>TI / Redes</v>
      </c>
      <c r="B555" t="str">
        <v>wifi router</v>
      </c>
      <c r="C555" t="str">
        <v>606909461563425</v>
      </c>
      <c r="D555" t="str">
        <v>ECOVOX E1 Portable 4G LTE WiFi Hotspot Router with Cloud SIM Suitable for Travel &amp; Remote Areas, SIM-Free Mobile Broadband, Rechargeable, WPA2 Security, Connects Up to 9 Devices, Global Network Access for/Office Use</v>
      </c>
      <c r="E555">
        <v>54.84</v>
      </c>
      <c r="F555">
        <v>239.9</v>
      </c>
      <c r="G555">
        <v>77.14</v>
      </c>
      <c r="H555">
        <f>IF(E555="","",ROUND(E555*Resumen!$B$3,2))</f>
      </c>
      <c r="K555">
        <v>1</v>
      </c>
      <c r="L555" t="str">
        <v>1</v>
      </c>
      <c r="M555" t="str">
        <v/>
      </c>
      <c r="N555" t="str">
        <v>https://img.kwcdn.com/product/fancy/96b1d3ad-08b6-4aad-8859-cc1c226d542a.jpg</v>
      </c>
      <c r="O555" t="str">
        <v>https://www.temu.com/goods.html?goods_id=606909461563425</v>
      </c>
    </row>
    <row r="556">
      <c r="A556" t="str">
        <v>TI / Redes</v>
      </c>
      <c r="B556" t="str">
        <v>wifi extender</v>
      </c>
      <c r="C556" t="str">
        <v>607425394510548</v>
      </c>
      <c r="D556" t="str">
        <v>1500Mbps Wifi Range Extender Repeater, 2.4Ghz Wireless Wifi * Booster with 4 High-* *, 360° Coverage Up to 10000 Sq. Ft, with Ethernet Port for Home, Cafe &amp; Office Use</v>
      </c>
      <c r="E556">
        <v>7.22</v>
      </c>
      <c r="F556">
        <v>49.99</v>
      </c>
      <c r="G556">
        <v>85.56</v>
      </c>
      <c r="H556">
        <f>IF(E556="","",ROUND(E556*Resumen!$B$3,2))</f>
      </c>
      <c r="K556">
        <v>1</v>
      </c>
      <c r="L556" t="str">
        <v>1 sold</v>
      </c>
      <c r="M556" t="str">
        <v/>
      </c>
      <c r="N556" t="str">
        <v>https://img.kwcdn.com/product/open/645114bd7e1a4ce2ba574e7ed3df1c1f-goods.jpeg</v>
      </c>
      <c r="O556" t="str">
        <v>https://www.temu.com/goods.html?goods_id=607425394510548</v>
      </c>
    </row>
    <row r="557">
      <c r="A557" t="str">
        <v>TI / Redes</v>
      </c>
      <c r="B557" t="str">
        <v>wifi router</v>
      </c>
      <c r="C557" t="str">
        <v>606618477528402</v>
      </c>
      <c r="D557" t="str">
        <v>4 No-drill Wall-mounted Storage Shelves, Suitable for Routers, WiFi Modems, Set-top Boxes, and Cable Organizers. These Space-saving, Multi-functional Shelves Come with Adhesive Backing. They Are Multi-functional Media Device Wall Mounts</v>
      </c>
      <c r="E557">
        <v>6.33</v>
      </c>
      <c r="F557">
        <v>18.99</v>
      </c>
      <c r="G557">
        <v>66.67</v>
      </c>
      <c r="H557">
        <f>IF(E557="","",ROUND(E557*Resumen!$B$3,2))</f>
      </c>
      <c r="K557">
        <v>0</v>
      </c>
      <c r="L557" t="str">
        <v>0</v>
      </c>
      <c r="M557" t="str">
        <v/>
      </c>
      <c r="N557" t="str">
        <v>https://img.kwcdn.com/product/fancy/357c17eb-7eed-4326-83d0-41f1091df450.jpg</v>
      </c>
      <c r="O557" t="str">
        <v>https://www.temu.com/goods.html?goods_id=606618477528402</v>
      </c>
    </row>
    <row r="558">
      <c r="A558" t="str">
        <v>TI / Redes</v>
      </c>
      <c r="B558" t="str">
        <v>wifi router</v>
      </c>
      <c r="C558" t="str">
        <v>606654984718558</v>
      </c>
      <c r="D558" t="str">
        <v>Storage Cabinet, WiFi Router Organizer, Grey PVC Box, Double Layer Adjustable Shelf, Ventilated Design, Wall Friendly, Electronics Cable Management, WiFi Router Storage Cabinet, Grey PVC Shelf, Adjustable Double Layer Organizer, Vent Holes</v>
      </c>
      <c r="E558">
        <v>188.99</v>
      </c>
      <c r="F558">
        <v>374.1</v>
      </c>
      <c r="G558">
        <v>49.48</v>
      </c>
      <c r="H558">
        <f>IF(E558="","",ROUND(E558*Resumen!$B$3,2))</f>
      </c>
      <c r="K558">
        <v>0</v>
      </c>
      <c r="L558" t="str">
        <v>0</v>
      </c>
      <c r="M558" t="str">
        <v/>
      </c>
      <c r="N558" t="str">
        <v>https://img.kwcdn.com/product/open/5a619bec6fc243388d977e32cdbce25e-goods.jpeg</v>
      </c>
      <c r="O558" t="str">
        <v>https://www.temu.com/goods.html?goods_id=606654984718558</v>
      </c>
    </row>
    <row r="559">
      <c r="A559" t="str">
        <v>TI / Redes</v>
      </c>
      <c r="B559" t="str">
        <v>wifi router</v>
      </c>
      <c r="C559" t="str">
        <v>606692565713041</v>
      </c>
      <c r="D559" t="str">
        <v>WiFi Extender/Signal Booster with 4 Antennas &amp; Ethernet Port - Tri- Wireless Repeater Suitable for Home, Office, Buildings, Compatible for PC, Router, Network Extender, Range Booster</v>
      </c>
      <c r="E559">
        <v>5.69</v>
      </c>
      <c r="F559">
        <v>46.8</v>
      </c>
      <c r="G559">
        <v>87.84</v>
      </c>
      <c r="H559">
        <f>IF(E559="","",ROUND(E559*Resumen!$B$3,2))</f>
      </c>
      <c r="K559">
        <v>0</v>
      </c>
      <c r="L559" t="str">
        <v>0</v>
      </c>
      <c r="M559" t="str">
        <v/>
      </c>
      <c r="N559" t="str">
        <v>https://img.kwcdn.com/product/open/ae78d167e827474ab95a8c2aed37fbf7-goods.jpeg</v>
      </c>
      <c r="O559" t="str">
        <v>https://www.temu.com/goods.html?goods_id=606692565713041</v>
      </c>
    </row>
    <row r="560">
      <c r="A560" t="str">
        <v>TI / Redes</v>
      </c>
      <c r="B560" t="str">
        <v>wifi router</v>
      </c>
      <c r="C560" t="str">
        <v>606817119790985</v>
      </c>
      <c r="D560" t="str">
        <v>Women'S Cute Cartoon Ghost Wifi Router Graphic T-Shirt Funny Sorry I Am Offline Print Short Sleeve Summer Casual Streetwear Top for Daily Leisure Sports</v>
      </c>
      <c r="E560">
        <v>6.07</v>
      </c>
      <c r="H560">
        <f>IF(E560="","",ROUND(E560*Resumen!$B$3,2))</f>
      </c>
      <c r="K560">
        <v>0</v>
      </c>
      <c r="L560" t="str">
        <v>0</v>
      </c>
      <c r="M560" t="str">
        <v/>
      </c>
      <c r="N560" t="str">
        <v>https://img.kwcdn.com/product/fancy/e615854c-43f5-497b-8113-936eef3d9f11.jpg</v>
      </c>
      <c r="O560" t="str">
        <v>https://www.temu.com/goods.html?goods_id=606817119790985</v>
      </c>
    </row>
    <row r="561">
      <c r="A561" t="str">
        <v>TI / Redes</v>
      </c>
      <c r="B561" t="str">
        <v>wifi router</v>
      </c>
      <c r="C561" t="str">
        <v>606903656638672</v>
      </c>
      <c r="D561" t="str">
        <v>Wall Mountable 2 Tier WiFi Router Modem Shelf Holder, Multi Scene Desktop Storage Rack for TV Box Network Device, Space Saving Home Office Organizer, Utility Racks</v>
      </c>
      <c r="E561">
        <v>3.05</v>
      </c>
      <c r="H561">
        <f>IF(E561="","",ROUND(E561*Resumen!$B$3,2))</f>
      </c>
      <c r="K561">
        <v>0</v>
      </c>
      <c r="L561" t="str">
        <v>0</v>
      </c>
      <c r="M561" t="str">
        <v/>
      </c>
      <c r="N561" t="str">
        <v>https://img.kwcdn.com/product/open/bdf7bc7839e2408eab7b6574013248f1-goods.jpeg</v>
      </c>
      <c r="O561" t="str">
        <v>https://www.temu.com/goods.html?goods_id=606903656638672</v>
      </c>
    </row>
    <row r="562">
      <c r="A562" t="str">
        <v>TI / Redes</v>
      </c>
      <c r="B562" t="str">
        <v>wifi router</v>
      </c>
      <c r="C562" t="str">
        <v>606976033523133</v>
      </c>
      <c r="D562" t="str">
        <v>Wi-Fi Signal Booster &amp; Range Extender with WIFI6 System, 6-Antenna Tri- Router Compatible for Home/Office, Plug &amp; Play Network Repeater Suitable for Whole Coverage, Extends WiFi Signal for Spaces, Christmas Gifts</v>
      </c>
      <c r="E562">
        <v>5.7</v>
      </c>
      <c r="F562">
        <v>39.99</v>
      </c>
      <c r="G562">
        <v>85.75</v>
      </c>
      <c r="H562">
        <f>IF(E562="","",ROUND(E562*Resumen!$B$3,2))</f>
      </c>
      <c r="K562">
        <v>0</v>
      </c>
      <c r="L562" t="str">
        <v>0</v>
      </c>
      <c r="M562" t="str">
        <v/>
      </c>
      <c r="N562" t="str">
        <v>https://img.kwcdn.com/product/open/34737a4c209146c6b8c051c93a73f876-goods.jpeg</v>
      </c>
      <c r="O562" t="str">
        <v>https://www.temu.com/goods.html?goods_id=606976033523133</v>
      </c>
    </row>
    <row r="563">
      <c r="A563" t="str">
        <v>TI / Redes</v>
      </c>
      <c r="B563" t="str">
        <v>wifi router</v>
      </c>
      <c r="C563" t="str">
        <v>606979254756780</v>
      </c>
      <c r="D563" t="str">
        <v>Men'S T-Shirt - Full Bars Full Cup Wifi Router And Coffee Mug - Streetwear Graphic Tee Tech Lover Gift Coffee Lover</v>
      </c>
      <c r="E563">
        <v>5.56</v>
      </c>
      <c r="H563">
        <f>IF(E563="","",ROUND(E563*Resumen!$B$3,2))</f>
      </c>
      <c r="K563">
        <v>0</v>
      </c>
      <c r="L563" t="str">
        <v>0</v>
      </c>
      <c r="M563" t="str">
        <v/>
      </c>
      <c r="N563" t="str">
        <v>https://img.kwcdn.com/product/fancy/5c8e21aa-6c61-40f9-a35f-b2ea30237b3b.jpg</v>
      </c>
      <c r="O563" t="str">
        <v>https://www.temu.com/goods.html?goods_id=606979254756780</v>
      </c>
    </row>
    <row r="564">
      <c r="A564" t="str">
        <v>TI / Redes</v>
      </c>
      <c r="B564" t="str">
        <v>wifi router</v>
      </c>
      <c r="C564" t="str">
        <v>606993213423628</v>
      </c>
      <c r="D564" t="str">
        <v>ECOVOX E1 Portable WiFi Hotspot Compatible for &amp;t, SIM-Free 4G LTE Mobile Router with Cloud SIM, 13-Hour Battery &amp; USB-C Power, WPA2 Security Suitable for Travel, Remote Work, Connects up to 9 Devices for /Office Use</v>
      </c>
      <c r="E564">
        <v>65.97</v>
      </c>
      <c r="F564">
        <v>239.9</v>
      </c>
      <c r="G564">
        <v>72.5</v>
      </c>
      <c r="H564">
        <f>IF(E564="","",ROUND(E564*Resumen!$B$3,2))</f>
      </c>
      <c r="K564">
        <v>0</v>
      </c>
      <c r="L564" t="str">
        <v>0</v>
      </c>
      <c r="M564" t="str">
        <v/>
      </c>
      <c r="N564" t="str">
        <v>https://img.kwcdn.com/product/fancy/201e0f33-18cd-42d0-8991-f727814ca7b3.jpg</v>
      </c>
      <c r="O564" t="str">
        <v>https://www.temu.com/goods.html?goods_id=606993213423628</v>
      </c>
    </row>
    <row r="565">
      <c r="A565" t="str">
        <v>TI / Redes</v>
      </c>
      <c r="B565" t="str">
        <v>wifi router</v>
      </c>
      <c r="C565" t="str">
        <v>606996434637339</v>
      </c>
      <c r="D565" t="str">
        <v>2-Pack Router Wall Mount Holder, No-Drill Self-Adhesive Wifi Router Bracket, White Grid Wall Shelf for Router, Modem, Power Strip, Home Office Bedroom Storage Organizer, Floating Shelves</v>
      </c>
      <c r="E565">
        <v>4.5</v>
      </c>
      <c r="F565">
        <v>28.01</v>
      </c>
      <c r="G565">
        <v>83.93</v>
      </c>
      <c r="H565">
        <f>IF(E565="","",ROUND(E565*Resumen!$B$3,2))</f>
      </c>
      <c r="K565">
        <v>0</v>
      </c>
      <c r="L565" t="str">
        <v>0</v>
      </c>
      <c r="M565" t="str">
        <v/>
      </c>
      <c r="N565" t="str">
        <v>https://img.kwcdn.com/product/open/a4e28de947894aa1b1697cfec307c4e6-goods.jpeg</v>
      </c>
      <c r="O565" t="str">
        <v>https://www.temu.com/goods.html?goods_id=606996434637339</v>
      </c>
    </row>
    <row r="566">
      <c r="A566" t="str">
        <v>TI / Redes</v>
      </c>
      <c r="B566" t="str">
        <v>wifi router</v>
      </c>
      <c r="C566" t="str">
        <v>606998582148494</v>
      </c>
      <c r="D566" t="str">
        <v>Wall Mounted Router Storage Cabinet with 2-Tier Adjustable Shelves Modern Minimalist WiFi Router Box with Ventilation for Power Strip Modem Media Box Living Room Bedroom Decor</v>
      </c>
      <c r="E566">
        <v>75.84</v>
      </c>
      <c r="H566">
        <f>IF(E566="","",ROUND(E566*Resumen!$B$3,2))</f>
      </c>
      <c r="K566">
        <v>0</v>
      </c>
      <c r="L566" t="str">
        <v>0</v>
      </c>
      <c r="M566" t="str">
        <v/>
      </c>
      <c r="N566" t="str">
        <v>https://img.kwcdn.com/product/open/ebefcdb274f84937b6b38999a2ff7645-goods.jpeg</v>
      </c>
      <c r="O566" t="str">
        <v>https://www.temu.com/goods.html?goods_id=606998582148494</v>
      </c>
    </row>
    <row r="567">
      <c r="A567" t="str">
        <v>TI / Redes</v>
      </c>
      <c r="B567" t="str">
        <v>wifi router</v>
      </c>
      <c r="C567" t="str">
        <v>607007037868947</v>
      </c>
      <c r="D567" t="str">
        <v>ECOVOX 2026 Portable Wifi Hotspot, No SIM Card Required, 4G LTE Wifi 6 Pocket Router, Connects 9 Devices, 150Mbps, Multi-Carrier Coverage in 150+ Countries, Free 1GB Data for Travel &amp; Dorms</v>
      </c>
      <c r="E567">
        <v>58.37</v>
      </c>
      <c r="H567">
        <f>IF(E567="","",ROUND(E567*Resumen!$B$3,2))</f>
      </c>
      <c r="K567">
        <v>0</v>
      </c>
      <c r="L567" t="str">
        <v>0</v>
      </c>
      <c r="M567" t="str">
        <v/>
      </c>
      <c r="N567" t="str">
        <v>https://img.kwcdn.com/product/open/461028923ca94d43a871374e5d6c9f13-goods.jpeg</v>
      </c>
      <c r="O567" t="str">
        <v>https://www.temu.com/goods.html?goods_id=607007037868947</v>
      </c>
    </row>
    <row r="568">
      <c r="A568" t="str">
        <v>TI / Redes</v>
      </c>
      <c r="B568" t="str">
        <v>wifi router</v>
      </c>
      <c r="C568" t="str">
        <v>607045289887653</v>
      </c>
      <c r="D568" t="str">
        <v>Men'S And Women'S WIFI FUTURISTIC ART ROUTER GODS CONSPIRACY Unisex 100% T-Shirt, Soft Comfort, for Couple, Family, Gym &amp; Daily Casual, Wardrobe Staple - 220G</v>
      </c>
      <c r="E568">
        <v>7.39</v>
      </c>
      <c r="H568">
        <f>IF(E568="","",ROUND(E568*Resumen!$B$3,2))</f>
      </c>
      <c r="K568">
        <v>0</v>
      </c>
      <c r="L568" t="str">
        <v>0</v>
      </c>
      <c r="M568" t="str">
        <v/>
      </c>
      <c r="N568" t="str">
        <v>https://img.kwcdn.com/product/fancy/01c7aff7-0a04-43c9-8861-6aa48c8a2a3f.jpg</v>
      </c>
      <c r="O568" t="str">
        <v>https://www.temu.com/goods.html?goods_id=607045289887653</v>
      </c>
    </row>
    <row r="569">
      <c r="A569" t="str">
        <v>TI / Redes</v>
      </c>
      <c r="B569" t="str">
        <v>wifi router</v>
      </c>
      <c r="C569" t="str">
        <v>607074381577041</v>
      </c>
      <c r="D569" t="str">
        <v>2 Pack Wall Mounted Router Storage Box, No Drill Double Door Wifi Modem Cable Organizer Cabinet, Hollow Window Design Hide Power Strip Cables, Home Wall Decor for Living Room Bedroom Office, Utility Racks</v>
      </c>
      <c r="E569">
        <v>11.65</v>
      </c>
      <c r="H569">
        <f>IF(E569="","",ROUND(E569*Resumen!$B$3,2))</f>
      </c>
      <c r="K569">
        <v>0</v>
      </c>
      <c r="L569" t="str">
        <v>0</v>
      </c>
      <c r="M569" t="str">
        <v/>
      </c>
      <c r="N569" t="str">
        <v>https://img.kwcdn.com/product/open/010eaac69a374d1f9e21ce8f85156081-goods.jpeg</v>
      </c>
      <c r="O569" t="str">
        <v>https://www.temu.com/goods.html?goods_id=607074381577041</v>
      </c>
    </row>
    <row r="570">
      <c r="A570" t="str">
        <v>TI / Redes</v>
      </c>
      <c r="B570" t="str">
        <v>wifi router</v>
      </c>
      <c r="C570" t="str">
        <v>607082333996160</v>
      </c>
      <c r="D570" t="str">
        <v>Modern Walnut PVC Storage Cabinet with WiFi Router Shelf - Adjustable Double Layer Ventilated Organizer Box Suitable for Home Office, Router &amp; Electronics Housing, Easy Install, Space-Saving, Walnut Color (No Assembly Required)</v>
      </c>
      <c r="E570">
        <v>187.41</v>
      </c>
      <c r="H570">
        <f>IF(E570="","",ROUND(E570*Resumen!$B$3,2))</f>
      </c>
      <c r="K570">
        <v>0</v>
      </c>
      <c r="L570" t="str">
        <v>0</v>
      </c>
      <c r="M570" t="str">
        <v/>
      </c>
      <c r="N570" t="str">
        <v>https://img.kwcdn.com/product/open/e5ba5c22b8ac4aa89829fe7095423a23-goods.jpeg</v>
      </c>
      <c r="O570" t="str">
        <v>https://www.temu.com/goods.html?goods_id=607082333996160</v>
      </c>
    </row>
    <row r="571">
      <c r="A571" t="str">
        <v>TI / Redes</v>
      </c>
      <c r="B571" t="str">
        <v>wifi router</v>
      </c>
      <c r="C571" t="str">
        <v>607113573195578</v>
      </c>
      <c r="D571" t="str">
        <v>Shelf, Wall-Mounted No-Drill Hook Bracket, Suitable for Wifi Routers, Power Strips, Set-Top Boxes, Space-Saving Multifunctional Storage Rack, Practical Hooks, Utility Hooks</v>
      </c>
      <c r="E571">
        <v>7.38</v>
      </c>
      <c r="F571">
        <v>46.08</v>
      </c>
      <c r="G571">
        <v>83.98</v>
      </c>
      <c r="H571">
        <f>IF(E571="","",ROUND(E571*Resumen!$B$3,2))</f>
      </c>
      <c r="K571">
        <v>0</v>
      </c>
      <c r="L571" t="str">
        <v>0</v>
      </c>
      <c r="M571" t="str">
        <v/>
      </c>
      <c r="N571" t="str">
        <v>https://img.kwcdn.com/product/fancy/e906929c-febb-4093-8a85-21587158d2c0.jpg</v>
      </c>
      <c r="O571" t="str">
        <v>https://www.temu.com/goods.html?goods_id=607113573195578</v>
      </c>
    </row>
    <row r="572">
      <c r="A572" t="str">
        <v>TI / Redes</v>
      </c>
      <c r="B572" t="str">
        <v>wifi router</v>
      </c>
      <c r="C572" t="str">
        <v>607182292641491</v>
      </c>
      <c r="D572" t="str">
        <v>2pcs No-Drill Wall Mounted Storage Rack, Adhesive Multifunctional Router Shelf for Wifi Modem And Set-Top Box, Cable Management Synthetic Gemstone Display Rack, Space Saving Organizer, Halloween Christmas Decor, Utility Racks</v>
      </c>
      <c r="E572">
        <v>3.94</v>
      </c>
      <c r="F572">
        <v>28.18</v>
      </c>
      <c r="G572">
        <v>86.02</v>
      </c>
      <c r="H572">
        <f>IF(E572="","",ROUND(E572*Resumen!$B$3,2))</f>
      </c>
      <c r="K572">
        <v>0</v>
      </c>
      <c r="L572" t="str">
        <v>0</v>
      </c>
      <c r="M572" t="str">
        <v/>
      </c>
      <c r="N572" t="str">
        <v>https://img.kwcdn.com/product/fancy/e3489550-a927-4327-9b5b-9a90892ec21f.jpg</v>
      </c>
      <c r="O572" t="str">
        <v>https://www.temu.com/goods.html?goods_id=607182292641491</v>
      </c>
    </row>
    <row r="573">
      <c r="A573" t="str">
        <v>TI / Redes</v>
      </c>
      <c r="B573" t="str">
        <v>wifi router</v>
      </c>
      <c r="C573" t="str">
        <v>607188634440514</v>
      </c>
      <c r="D573" t="str">
        <v>Round Metal Sign Insane Asylum Wifi Never Dies Sanity Might Router Living Room Office Top Pick Must Have Loved One Smart Buy Cozy Vibe City Loft for Family Nice Touch Sweet Gift Funny Decor Unique Idea</v>
      </c>
      <c r="E573">
        <v>3.79</v>
      </c>
      <c r="H573">
        <f>IF(E573="","",ROUND(E573*Resumen!$B$3,2))</f>
      </c>
      <c r="K573">
        <v>0</v>
      </c>
      <c r="L573" t="str">
        <v>0</v>
      </c>
      <c r="M573" t="str">
        <v/>
      </c>
      <c r="N573" t="str">
        <v>https://img.kwcdn.com/product/open/d2175f8006bb433e83d1985d45d490af-goods.jpeg</v>
      </c>
      <c r="O573" t="str">
        <v>https://www.temu.com/goods.html?goods_id=607188634440514</v>
      </c>
    </row>
    <row r="574">
      <c r="A574" t="str">
        <v>TI / Redes</v>
      </c>
      <c r="B574" t="str">
        <v>wifi router</v>
      </c>
      <c r="C574" t="str">
        <v>607233865802024</v>
      </c>
      <c r="D574" t="str">
        <v>2D Flat, 2D Flat, 1pc, 12X18 Inches, Frameless Canvas Print, Minimalist Wifi Router Icon, Black And White Wireless Signal Lines, Modern Abstract Art Poster, Ins Style Home Decor, Suitable for Living Room, Bedroom, Study, Entrance, Room Decoration</v>
      </c>
      <c r="E574">
        <v>2.97</v>
      </c>
      <c r="H574">
        <f>IF(E574="","",ROUND(E574*Resumen!$B$3,2))</f>
      </c>
      <c r="K574">
        <v>0</v>
      </c>
      <c r="L574" t="str">
        <v>0</v>
      </c>
      <c r="M574" t="str">
        <v/>
      </c>
      <c r="N574" t="str">
        <v>https://img.kwcdn.com/product/fancy/e347ef4b-55e3-46ab-a303-a27ccdcf3809.jpg</v>
      </c>
      <c r="O574" t="str">
        <v>https://www.temu.com/goods.html?goods_id=607233865802024</v>
      </c>
    </row>
    <row r="575">
      <c r="A575" t="str">
        <v>TI / Redes</v>
      </c>
      <c r="B575" t="str">
        <v>wifi router</v>
      </c>
      <c r="C575" t="str">
        <v>607280540004010</v>
      </c>
      <c r="D575" t="str">
        <v>Grey 2-Tier PVC Wifi Router Storage Cabinet with Ventilation Holes Adjustable Shelf, Freestanding Wall Mount Cable Organizer Box for Router Set-Top Box Power Strip Living Room Bedroom Office</v>
      </c>
      <c r="E575">
        <v>101.82</v>
      </c>
      <c r="H575">
        <f>IF(E575="","",ROUND(E575*Resumen!$B$3,2))</f>
      </c>
      <c r="K575">
        <v>0</v>
      </c>
      <c r="L575" t="str">
        <v>0</v>
      </c>
      <c r="M575" t="str">
        <v/>
      </c>
      <c r="N575" t="str">
        <v>https://img.kwcdn.com/product/open/004d2494bef54e4faaf30370f87edb83-goods.jpeg</v>
      </c>
      <c r="O575" t="str">
        <v>https://www.temu.com/goods.html?goods_id=607280540004010</v>
      </c>
    </row>
    <row r="576">
      <c r="A576" t="str">
        <v>TI / Redes</v>
      </c>
      <c r="B576" t="str">
        <v>wifi router</v>
      </c>
      <c r="C576" t="str">
        <v>607539848668175</v>
      </c>
      <c r="D576" t="str">
        <v>Funny Front Porch Rug, We Have Wifi Router Print Doormat for Entryway Outdoor Indoor, Non-Slip Sarcastic Decor, Housewarming Gift for Family</v>
      </c>
      <c r="E576">
        <v>8.54</v>
      </c>
      <c r="H576">
        <f>IF(E576="","",ROUND(E576*Resumen!$B$3,2))</f>
      </c>
      <c r="K576">
        <v>0</v>
      </c>
      <c r="L576" t="str">
        <v>0</v>
      </c>
      <c r="M576" t="str">
        <v/>
      </c>
      <c r="N576" t="str">
        <v>https://img.kwcdn.com/product/open/41ffbd9621b24c048867b8a1cfbd7b4e-goods.jpeg</v>
      </c>
      <c r="O576" t="str">
        <v>https://www.temu.com/goods.html?goods_id=607539848668175</v>
      </c>
    </row>
    <row r="577">
      <c r="A577" t="str">
        <v>TI / Redes</v>
      </c>
      <c r="B577" t="str">
        <v>wifi router</v>
      </c>
      <c r="C577" t="str">
        <v>607551559184521</v>
      </c>
      <c r="D577" t="str">
        <v>WiFi Extender/Booster with 4 Antennas and Ethernet Port, 1100 Square Feet Range Booster, WiFi Repeater/Router/Signal Booster for Home Use, Extends WiFi Signal Coverage, Long-Distance Strong Penetration, Christmas Gift</v>
      </c>
      <c r="E577">
        <v>6.96</v>
      </c>
      <c r="F577">
        <v>10.01</v>
      </c>
      <c r="G577">
        <v>30.47</v>
      </c>
      <c r="H577">
        <f>IF(E577="","",ROUND(E577*Resumen!$B$3,2))</f>
      </c>
      <c r="K577">
        <v>0</v>
      </c>
      <c r="L577" t="str">
        <v>0</v>
      </c>
      <c r="M577" t="str">
        <v/>
      </c>
      <c r="N577" t="str">
        <v>https://img.kwcdn.com/product/fancy/757d9254-b72f-4927-9401-2cd12429308c.jpg</v>
      </c>
      <c r="O577" t="str">
        <v>https://www.temu.com/goods.html?goods_id=607551559184521</v>
      </c>
    </row>
    <row r="578">
      <c r="A578" t="str">
        <v>TI / Redes</v>
      </c>
      <c r="B578" t="str">
        <v>wifi router</v>
      </c>
      <c r="C578" t="str">
        <v>607624506492465</v>
      </c>
      <c r="D578" t="str">
        <v>2D Flat, 2D Flat Large 8'x12' Vintage WiFi Sign Metal Wall Plaque | Heavy-Duty Iron WiFi Symbol with SSID &amp; Key Icons, Black Retro Network Router Decor for Home, Cafe, Office, Guest Access Point Label, 2D Flat Decorative Sign &amp; Plaque Decorative</v>
      </c>
      <c r="E578">
        <v>5.28</v>
      </c>
      <c r="F578">
        <v>14.49</v>
      </c>
      <c r="G578">
        <v>63.56</v>
      </c>
      <c r="H578">
        <f>IF(E578="","",ROUND(E578*Resumen!$B$3,2))</f>
      </c>
      <c r="K578">
        <v>0</v>
      </c>
      <c r="L578" t="str">
        <v>0</v>
      </c>
      <c r="M578" t="str">
        <v/>
      </c>
      <c r="N578" t="str">
        <v>https://img.kwcdn.com/product/fancy/928ced8d-3b16-4164-adff-72509d9648cb.jpg</v>
      </c>
      <c r="O578" t="str">
        <v>https://www.temu.com/goods.html?goods_id=607624506492465</v>
      </c>
    </row>
    <row r="579">
      <c r="A579" t="str">
        <v>TI / Redes</v>
      </c>
      <c r="B579" t="str">
        <v>wifi router</v>
      </c>
      <c r="C579" t="str">
        <v>609944594159276</v>
      </c>
      <c r="D579" t="str">
        <v>Jefuzh 6 Pieces Protection Stickers for Smart Phones &amp; Cell Phone, Tablets/Laptops/Computer/Radio/WiFi Router/TV All E-Devices, Hexagon, JF-6B</v>
      </c>
      <c r="E579">
        <v>41.63</v>
      </c>
      <c r="F579">
        <v>58.45</v>
      </c>
      <c r="G579">
        <v>28.78</v>
      </c>
      <c r="H579">
        <f>IF(E579="","",ROUND(E579*Resumen!$B$3,2))</f>
      </c>
      <c r="K579">
        <v>0</v>
      </c>
      <c r="L579" t="str">
        <v>0</v>
      </c>
      <c r="M579" t="str">
        <v/>
      </c>
      <c r="N579" t="str">
        <v>https://img.kwcdn.com/local-goods-image/932f2cc2/d0003c63-6fb5-4844-8966-481b919b5662/68f105218ce9028db415c68cf34d05d0.jpeg</v>
      </c>
      <c r="O579" t="str">
        <v>https://www.temu.com/goods.html?goods_id=609944594159276</v>
      </c>
    </row>
    <row r="580">
      <c r="A580" t="str">
        <v>TI / Redes</v>
      </c>
      <c r="B580" t="str">
        <v>wifi router</v>
      </c>
      <c r="C580" t="str">
        <v>610217324589641</v>
      </c>
      <c r="D580" t="str">
        <v>ASUS RT-BE59 Dual-band WiFi 7 Router: Mesh-Compatible, 5000 Mbps, 2.5G port, Parental Controls &amp; VPNs, Advanced Network Security</v>
      </c>
      <c r="E580">
        <v>194.13</v>
      </c>
      <c r="H580">
        <f>IF(E580="","",ROUND(E580*Resumen!$B$3,2))</f>
      </c>
      <c r="K580">
        <v>0</v>
      </c>
      <c r="L580" t="str">
        <v>0</v>
      </c>
      <c r="M580" t="str">
        <v/>
      </c>
      <c r="N580" t="str">
        <v>https://img.kwcdn.com/local-goods-image/8f50b12f/957c4865-27d1-43d3-bb2c-3c2896772fcd.jpeg</v>
      </c>
      <c r="O580" t="str">
        <v>https://www.temu.com/goods.html?goods_id=610217324589641</v>
      </c>
    </row>
    <row r="581">
      <c r="A581" t="str">
        <v>TI / Redes</v>
      </c>
      <c r="B581" t="str">
        <v>wifi router</v>
      </c>
      <c r="C581" t="str">
        <v>610217324605218</v>
      </c>
      <c r="D581" t="str">
        <v>ASUS ZenWiFi BQ16 Pro Quad-band WiFi 7 Mesh Router (2 Pack), up to 8000 sqft, 2x 10G ports each, Smart Home Master with multi-SSID, VPN &amp; parental controls, Subscription-free security, AiMesh</v>
      </c>
      <c r="E581">
        <v>1070.71</v>
      </c>
      <c r="H581">
        <f>IF(E581="","",ROUND(E581*Resumen!$B$3,2))</f>
      </c>
      <c r="K581">
        <v>0</v>
      </c>
      <c r="L581" t="str">
        <v>0</v>
      </c>
      <c r="M581" t="str">
        <v/>
      </c>
      <c r="N581" t="str">
        <v>https://img.kwcdn.com/local-goods-image/56c87d33/ed7abd3d-68c6-4f0e-8705-76ac2243764c.jpeg</v>
      </c>
      <c r="O581" t="str">
        <v>https://www.temu.com/goods.html?goods_id=610217324605218</v>
      </c>
    </row>
    <row r="582">
      <c r="A582" t="str">
        <v>TI / Redes</v>
      </c>
      <c r="B582" t="str">
        <v>wifi router</v>
      </c>
      <c r="C582" t="str">
        <v>610219472077223</v>
      </c>
      <c r="D582" t="str">
        <v>Bangcheer 10PCS SIM Card Removal Tool Set, Engraved Stainless Steel SIM Ejector Pins with Lanyard, Universal SIMcard Tray Opener for iPhones, Samsung, iPads, WiFi Routers, Tech Gift</v>
      </c>
      <c r="E582">
        <v>33.55</v>
      </c>
      <c r="F582">
        <v>53.25</v>
      </c>
      <c r="G582">
        <v>37</v>
      </c>
      <c r="H582">
        <f>IF(E582="","",ROUND(E582*Resumen!$B$3,2))</f>
      </c>
      <c r="K582">
        <v>0</v>
      </c>
      <c r="L582" t="str">
        <v>0</v>
      </c>
      <c r="M582" t="str">
        <v/>
      </c>
      <c r="N582" t="str">
        <v>https://img.kwcdn.com/local-goods-image/b58e9d58/ca1c45e1-81c9-41f8-806a-d4d77088c1c0/da2a092a5a5e63c57097103a23d841a6.jpeg</v>
      </c>
      <c r="O582" t="str">
        <v>https://www.temu.com/goods.html?goods_id=610219472077223</v>
      </c>
    </row>
    <row r="583">
      <c r="A583" t="str">
        <v>TI / Redes</v>
      </c>
      <c r="B583" t="str">
        <v>wifi router</v>
      </c>
      <c r="C583" t="str">
        <v>610492202467173</v>
      </c>
      <c r="D583" t="str">
        <v>ASUS RT-BE96U BE19000 802.11BE Tri-Band Performance WiFi 7 Extendable Router with 6GHz support, Dual 10G Port, 320Mhz, lifetime internet security, *MLO, AiMesh Support</v>
      </c>
      <c r="E583">
        <v>676.25</v>
      </c>
      <c r="H583">
        <f>IF(E583="","",ROUND(E583*Resumen!$B$3,2))</f>
      </c>
      <c r="K583">
        <v>0</v>
      </c>
      <c r="L583" t="str">
        <v>0</v>
      </c>
      <c r="M583" t="str">
        <v/>
      </c>
      <c r="N583" t="str">
        <v>https://img.kwcdn.com/local-goods-image/990b406c/170d14a0-b70b-40fb-ab84-cd8bace5cd1a.jpeg</v>
      </c>
      <c r="O583" t="str">
        <v>https://www.temu.com/goods.html?goods_id=610492202467173</v>
      </c>
    </row>
    <row r="584">
      <c r="A584" t="str">
        <v>TI / Redes</v>
      </c>
      <c r="B584" t="str">
        <v>wifi router</v>
      </c>
      <c r="C584" t="str">
        <v>610492202490326</v>
      </c>
      <c r="D584" t="str">
        <v>ASUS RT-BE88U Dual-band WiFi 7 AiMesh Extendable Performance Router, 4K-QAM, MLO, Dual 10G ports, SFP+, Four 2.5G ports, Four 1G ports, 34G WAN/LAN capacity, Subscription-free network security</v>
      </c>
      <c r="E584">
        <v>375.86</v>
      </c>
      <c r="H584">
        <f>IF(E584="","",ROUND(E584*Resumen!$B$3,2))</f>
      </c>
      <c r="K584">
        <v>0</v>
      </c>
      <c r="L584" t="str">
        <v>0</v>
      </c>
      <c r="M584" t="str">
        <v/>
      </c>
      <c r="N584" t="str">
        <v>https://img.kwcdn.com/local-goods-image/6aa2f289/ffa42a10-2248-49a3-baa6-019f17e1ca23.jpeg</v>
      </c>
      <c r="O584" t="str">
        <v>https://www.temu.com/goods.html?goods_id=610492202490326</v>
      </c>
    </row>
    <row r="585">
      <c r="A585" t="str">
        <v>TI / Redes</v>
      </c>
      <c r="B585" t="str">
        <v>wifi router</v>
      </c>
      <c r="C585" t="str">
        <v>610507234847927</v>
      </c>
      <c r="D585" t="str">
        <v>TP-Link AXE5400 User Guide: Complete Manual for Setup, WiFi Optimization, Security &amp; Advanced Features of the AXE75 Router -- Jordan C. Blake, Paperback</v>
      </c>
      <c r="E585">
        <v>19.85</v>
      </c>
      <c r="H585">
        <f>IF(E585="","",ROUND(E585*Resumen!$B$3,2))</f>
      </c>
      <c r="K585">
        <v>0</v>
      </c>
      <c r="L585" t="str">
        <v>0</v>
      </c>
      <c r="M585" t="str">
        <v/>
      </c>
      <c r="N585" t="str">
        <v>https://img.kwcdn.com/local-goods-image/ba32abfa/ca9c9f30-4bc3-4aa7-abd0-113907d45430.jpeg</v>
      </c>
      <c r="O585" t="str">
        <v>https://www.temu.com/goods.html?goods_id=610507234847927</v>
      </c>
    </row>
    <row r="586">
      <c r="A586" t="str">
        <v>TI / Redes</v>
      </c>
      <c r="B586" t="str">
        <v>wifi extender</v>
      </c>
      <c r="C586" t="str">
        <v>603163822237358</v>
      </c>
      <c r="D586" t="str">
        <v>* EAX17-100NAR * WiFi 6 Dual-Band Range Extender, Up to 3.0 * Speed, Covers 1500 *. and 20 Devices - Certified Refurbished</v>
      </c>
      <c r="E586">
        <v>86.81</v>
      </c>
      <c r="F586">
        <v>199.99</v>
      </c>
      <c r="G586">
        <v>56.59</v>
      </c>
      <c r="H586">
        <f>IF(E586="","",ROUND(E586*Resumen!$B$3,2))</f>
      </c>
      <c r="L586" t="str">
        <v/>
      </c>
      <c r="M586" t="str">
        <v/>
      </c>
      <c r="N586" t="str">
        <v>https://img.kwcdn.com/local-goods-image/fddb2e6b/185b8bc7-25a8-4039-a8bc-f2da83dae867.jpeg</v>
      </c>
      <c r="O586" t="str">
        <v>https://www.temu.com/goods.html?goods_id=603163822237358</v>
      </c>
    </row>
    <row r="587">
      <c r="A587" t="str">
        <v>TI / Redes</v>
      </c>
      <c r="B587" t="str">
        <v>wifi extender</v>
      </c>
      <c r="C587" t="str">
        <v>605694606556382</v>
      </c>
      <c r="D587" t="str">
        <v>Wifi Extender Booster 2.4G And 5G Dual Band 6-Antenna Wifi Repeater, Compatible with All Routers, * * And Anti-Interference, Supports Multi-Device Connection for Home Office</v>
      </c>
      <c r="E587">
        <v>19.49</v>
      </c>
      <c r="F587">
        <v>38.1</v>
      </c>
      <c r="G587">
        <v>48.85</v>
      </c>
      <c r="H587">
        <f>IF(E587="","",ROUND(E587*Resumen!$B$3,2))</f>
      </c>
      <c r="L587" t="str">
        <v/>
      </c>
      <c r="M587" t="str">
        <v/>
      </c>
      <c r="N587" t="str">
        <v>https://img.kwcdn.com/product/open/7020b347189546fa98a9d10565b5d07f-goods.jpeg</v>
      </c>
      <c r="O587" t="str">
        <v>https://www.temu.com/goods.html?goods_id=605694606556382</v>
      </c>
    </row>
    <row r="588">
      <c r="A588" t="str">
        <v>TI / Redes</v>
      </c>
      <c r="B588" t="str">
        <v>wifi extender</v>
      </c>
      <c r="C588" t="str">
        <v>606184299926363</v>
      </c>
      <c r="D588" t="str">
        <v>WiFi Extender/booster, Long-range WiFi * Enhancer, WiFi Repeater with Ethernet Port, Coverage up to 1200 *, Supports 55 Devices, Easy to Set Up, Home Internet * Booster, High-performance Antenna, Reliable *.</v>
      </c>
      <c r="E588">
        <v>10.07</v>
      </c>
      <c r="F588">
        <v>36.05</v>
      </c>
      <c r="G588">
        <v>72.07</v>
      </c>
      <c r="H588">
        <f>IF(E588="","",ROUND(E588*Resumen!$B$3,2))</f>
      </c>
      <c r="L588" t="str">
        <v/>
      </c>
      <c r="M588" t="str">
        <v/>
      </c>
      <c r="N588" t="str">
        <v>https://img.kwcdn.com/product/fancy/899a9a61-1bcc-4cd0-9ef9-62274d6b362e.jpg</v>
      </c>
      <c r="O588" t="str">
        <v>https://www.temu.com/goods.html?goods_id=606184299926363</v>
      </c>
    </row>
    <row r="589">
      <c r="A589" t="str">
        <v>TI / Redes</v>
      </c>
      <c r="B589" t="str">
        <v>wifi extender</v>
      </c>
      <c r="C589" t="str">
        <v>606331687820404</v>
      </c>
      <c r="D589" t="str">
        <v>* WiFi 6 * Point Dual Band 2.4G+5G * Long Range Extender With 5x8dBi *, PoE, High Quality, * Booster For Home/Office/Outdoor, Wifi Extender</v>
      </c>
      <c r="E589">
        <v>171.69</v>
      </c>
      <c r="H589">
        <f>IF(E589="","",ROUND(E589*Resumen!$B$3,2))</f>
      </c>
      <c r="L589" t="str">
        <v/>
      </c>
      <c r="M589" t="str">
        <v/>
      </c>
      <c r="N589" t="str">
        <v>https://img.kwcdn.com/product/fancy/57b15f6f-b69f-4a62-bc56-221a6d83d4a1.jpg</v>
      </c>
      <c r="O589" t="str">
        <v>https://www.temu.com/goods.html?goods_id=606331687820404</v>
      </c>
    </row>
    <row r="590">
      <c r="A590" t="str">
        <v>TI / Redes</v>
      </c>
      <c r="B590" t="str">
        <v>wifi extender</v>
      </c>
      <c r="C590" t="str">
        <v>606942680473446</v>
      </c>
      <c r="D590" t="str">
        <v>WiFi 6 * Booster-Wireless * Booster, WiFi Extender, * with 6 *, Intelligent Routing, Extends WiFi Coverage, * Data Transmission, Suitable for Home, Office, and Cafes - Compatible with All Routers, Office WiFi Solution</v>
      </c>
      <c r="E590">
        <v>25.26</v>
      </c>
      <c r="H590">
        <f>IF(E590="","",ROUND(E590*Resumen!$B$3,2))</f>
      </c>
      <c r="L590" t="str">
        <v/>
      </c>
      <c r="M590" t="str">
        <v/>
      </c>
      <c r="N590" t="str">
        <v>https://img.kwcdn.com/product/fancy/f47a7770-c755-4eec-9cae-0a94985cc40a.jpg</v>
      </c>
      <c r="O590" t="str">
        <v>https://www.temu.com/goods.html?goods_id=606942680473446</v>
      </c>
    </row>
    <row r="591">
      <c r="A591" t="str">
        <v>TI / Redes</v>
      </c>
      <c r="B591" t="str">
        <v>wifi extender</v>
      </c>
      <c r="C591" t="str">
        <v>607096292616594</v>
      </c>
      <c r="D591" t="str">
        <v>Wifi * Booster Repeater, 4-Antenna Wifi Extender, Through-* Network Amplifier (Enhances Coverage And * * *), Wifi Extender * Booster, Office Network Upgrade, Versatile Placement, Home Wifi Extension</v>
      </c>
      <c r="E591">
        <v>5.7</v>
      </c>
      <c r="F591">
        <v>39.99</v>
      </c>
      <c r="G591">
        <v>85.75</v>
      </c>
      <c r="H591">
        <f>IF(E591="","",ROUND(E591*Resumen!$B$3,2))</f>
      </c>
      <c r="L591" t="str">
        <v/>
      </c>
      <c r="M591" t="str">
        <v/>
      </c>
      <c r="N591" t="str">
        <v>https://img.kwcdn.com/product/open/901a7319b173448a85d0686a186d2efb-goods.jpeg</v>
      </c>
      <c r="O591" t="str">
        <v>https://www.temu.com/goods.html?goods_id=607096292616594</v>
      </c>
    </row>
    <row r="592">
      <c r="A592" t="str">
        <v>TI / Redes</v>
      </c>
      <c r="B592" t="str">
        <v>wifi extender</v>
      </c>
      <c r="C592" t="str">
        <v>610062168877716</v>
      </c>
      <c r="D592" t="str">
        <v>* RP-BE58 BE3600 WiFi 7 Dual-Band Range Extender (Refurbished)</v>
      </c>
      <c r="E592">
        <v>52.4</v>
      </c>
      <c r="F592">
        <v>149.99</v>
      </c>
      <c r="G592">
        <v>65.06</v>
      </c>
      <c r="H592">
        <f>IF(E592="","",ROUND(E592*Resumen!$B$3,2))</f>
      </c>
      <c r="L592" t="str">
        <v/>
      </c>
      <c r="M592" t="str">
        <v/>
      </c>
      <c r="N592" t="str">
        <v>https://img.kwcdn.com/local-goods-image/778f8d70/6d6eac4b-18cb-42cb-bd64-9b1de44c13b0.jpeg</v>
      </c>
      <c r="O592" t="str">
        <v>https://www.temu.com/goods.html?goods_id=610062168877716</v>
      </c>
    </row>
    <row r="593">
      <c r="A593" t="str">
        <v>TI / Redes</v>
      </c>
      <c r="B593" t="str">
        <v>wifi extender</v>
      </c>
      <c r="C593" t="str">
        <v>610139478309404</v>
      </c>
      <c r="D593" t="str">
        <v>* * 870 Series * WiFi 7 Mesh System (RBE873) - Router + 2 Satellite Extenders, Security Features, Up to 21 *, Covers Up to 9,000 *., 150 Devices, 10 Gig Internet Port, BE21000 (Refurbished)</v>
      </c>
      <c r="E593">
        <v>865.92</v>
      </c>
      <c r="F593">
        <v>919.99</v>
      </c>
      <c r="G593">
        <v>5.88</v>
      </c>
      <c r="H593">
        <f>IF(E593="","",ROUND(E593*Resumen!$B$3,2))</f>
      </c>
      <c r="L593" t="str">
        <v/>
      </c>
      <c r="M593" t="str">
        <v/>
      </c>
      <c r="N593" t="str">
        <v>https://img.kwcdn.com/local-goods-image/217a7c0000/8f74e6ed-baee-43bd-9054-be20b970c194_1081x1081.jpeg.format.jpg</v>
      </c>
      <c r="O593" t="str">
        <v>https://www.temu.com/goods.html?goods_id=610139478309404</v>
      </c>
    </row>
    <row r="594">
      <c r="A594" t="str">
        <v>TI / Redes</v>
      </c>
      <c r="B594" t="str">
        <v>wifi extender</v>
      </c>
      <c r="C594" t="str">
        <v>610386438884711</v>
      </c>
      <c r="D594" t="str">
        <v>* RP-BE58 BE3600 WiFi 7 Dual-Band Range Extender, * Compatible Mesh Repeater, * Wireless * Booster for Seamless * Coverage (*)</v>
      </c>
      <c r="E594">
        <v>68.87</v>
      </c>
      <c r="H594">
        <f>IF(E594="","",ROUND(E594*Resumen!$B$3,2))</f>
      </c>
      <c r="L594" t="str">
        <v/>
      </c>
      <c r="M594" t="str">
        <v/>
      </c>
      <c r="N594" t="str">
        <v>https://img.kwcdn.com/local-goods-image/523fd251/01dc3726-4046-454c-8756-bef5c1dd0af6.jpeg</v>
      </c>
      <c r="O594" t="str">
        <v>https://www.temu.com/goods.html?goods_id=610386438884711</v>
      </c>
    </row>
  </sheetData>
  <autoFilter ref="A1:O594"/>
  <ignoredErrors>
    <ignoredError numberStoredAsText="1" sqref="A1:O5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Resumen</vt: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